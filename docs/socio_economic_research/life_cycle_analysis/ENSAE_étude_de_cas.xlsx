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4a3a428f44ce04b/Desktop/life_cycle_analysis/"/>
    </mc:Choice>
  </mc:AlternateContent>
  <xr:revisionPtr revIDLastSave="0" documentId="11_BB813CD43D9F012A4313F3B6E69064FBA9B02DBD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formation" sheetId="1" r:id="rId1"/>
    <sheet name="Inventaire" sheetId="2" r:id="rId2"/>
    <sheet name="Analyse d'impacts" sheetId="3" r:id="rId3"/>
    <sheet name="Composition voiture" sheetId="4" r:id="rId4"/>
    <sheet name="Production batterie" sheetId="5" r:id="rId5"/>
    <sheet name="Mix électriques" sheetId="6" r:id="rId6"/>
    <sheet name="Carburant" sheetId="7" r:id="rId7"/>
  </sheets>
  <definedNames>
    <definedName name="Import1_FuelChain_COL">#REF!</definedName>
    <definedName name="Import1_Impact_COL">#REF!</definedName>
    <definedName name="Import1_Region_COL">#REF!</definedName>
    <definedName name="Import1_Scenario_COL">#REF!</definedName>
    <definedName name="Import1_Sensitivity_COL">#REF!</definedName>
    <definedName name="Import1_Substage_COL">#REF!</definedName>
    <definedName name="l_ElecFuelChain">#REF!</definedName>
    <definedName name="n_SelectedImpact_Elec">'Mix électriques'!$C$13</definedName>
    <definedName name="n_SelectedRegion_Elec">'Mix électriques'!$C$17</definedName>
    <definedName name="n_SelectedScenario_Elec">'Mix électriques'!$C$14</definedName>
    <definedName name="n_SelectedSensitivity_Elec">'Mix électriques'!$C$15</definedName>
  </definedNames>
  <calcPr calcId="0"/>
</workbook>
</file>

<file path=xl/sharedStrings.xml><?xml version="1.0" encoding="utf-8"?>
<sst xmlns="http://schemas.openxmlformats.org/spreadsheetml/2006/main" count="508" uniqueCount="172">
  <si>
    <t>PARAMÈTRES</t>
  </si>
  <si>
    <t>nom</t>
  </si>
  <si>
    <t>unité</t>
  </si>
  <si>
    <t>quantité</t>
  </si>
  <si>
    <t>Paramètres véhicules</t>
  </si>
  <si>
    <t>Durée de vie</t>
  </si>
  <si>
    <t>km</t>
  </si>
  <si>
    <t>Kilométrage annuel</t>
  </si>
  <si>
    <t>km/an</t>
  </si>
  <si>
    <t>ans</t>
  </si>
  <si>
    <t>Consommation diesel</t>
  </si>
  <si>
    <t>l/100 km</t>
  </si>
  <si>
    <t>Consommation électrique</t>
  </si>
  <si>
    <t>kWh/100 km</t>
  </si>
  <si>
    <t>Pertes de distribution et de chargement (électricité)</t>
  </si>
  <si>
    <t>%</t>
  </si>
  <si>
    <t>Masse d'une voiture thermique</t>
  </si>
  <si>
    <t>kg</t>
  </si>
  <si>
    <t>Masse d'une voiture électrique (hors batterie)</t>
  </si>
  <si>
    <t>Capacité de la batterie</t>
  </si>
  <si>
    <t>kWh</t>
  </si>
  <si>
    <t>Maintenance annuelle</t>
  </si>
  <si>
    <t>h</t>
  </si>
  <si>
    <t>Paramètres combustion</t>
  </si>
  <si>
    <t>Formule moyenne du gazole routier</t>
  </si>
  <si>
    <t>C12H24</t>
  </si>
  <si>
    <t>Masse molaire du carbone</t>
  </si>
  <si>
    <t>g/mol</t>
  </si>
  <si>
    <t>Masse molaire de l'hydrogène</t>
  </si>
  <si>
    <t>Masse molaire de l'oxygène</t>
  </si>
  <si>
    <t>Réaction de combustion complète (à équilibrer !)</t>
  </si>
  <si>
    <t>C12H24 + O2 = CO2 + H2O</t>
  </si>
  <si>
    <t>Densité massique du gazole</t>
  </si>
  <si>
    <t>kg/l</t>
  </si>
  <si>
    <t>Densité énergétique du gazole</t>
  </si>
  <si>
    <t>MJ/l</t>
  </si>
  <si>
    <t>Émissions dues à la combustion d'un litre de gazole</t>
  </si>
  <si>
    <t>kg CO2</t>
  </si>
  <si>
    <t>MATRICES ACV (DONNÉES D'ENTRÉE)</t>
  </si>
  <si>
    <t>transport, voiture diesel</t>
  </si>
  <si>
    <t>transport, voiture électrique</t>
  </si>
  <si>
    <t>voiture diesel</t>
  </si>
  <si>
    <t>voiture électrique</t>
  </si>
  <si>
    <t>batterie lithium-ion, production</t>
  </si>
  <si>
    <t>batterie lithium-ion, recyclage</t>
  </si>
  <si>
    <t>gazole</t>
  </si>
  <si>
    <t>maintenance</t>
  </si>
  <si>
    <t>acier</t>
  </si>
  <si>
    <t>fonte</t>
  </si>
  <si>
    <t>aluminium</t>
  </si>
  <si>
    <t>verre</t>
  </si>
  <si>
    <t>peinture</t>
  </si>
  <si>
    <t>plastiques</t>
  </si>
  <si>
    <t>gomme</t>
  </si>
  <si>
    <t>lubrifiant</t>
  </si>
  <si>
    <t>cuivre</t>
  </si>
  <si>
    <t>métaux non ferreux</t>
  </si>
  <si>
    <t>électronique</t>
  </si>
  <si>
    <t>textiles</t>
  </si>
  <si>
    <t>fibre de carbone</t>
  </si>
  <si>
    <t>électricité du réseau, Allemagne</t>
  </si>
  <si>
    <t>électricité du réseau, France</t>
  </si>
  <si>
    <t>électricité nucléaire</t>
  </si>
  <si>
    <t>électricité éolienne</t>
  </si>
  <si>
    <t>électricité photovoltaïque</t>
  </si>
  <si>
    <t>électricité hydroélectrique</t>
  </si>
  <si>
    <t>électricité au charbon</t>
  </si>
  <si>
    <t>électricité au gaz</t>
  </si>
  <si>
    <t>électricité, autre</t>
  </si>
  <si>
    <t>gaz naturel</t>
  </si>
  <si>
    <t>chaleur</t>
  </si>
  <si>
    <t>A (activités)</t>
  </si>
  <si>
    <t>activité</t>
  </si>
  <si>
    <t>u</t>
  </si>
  <si>
    <t>l</t>
  </si>
  <si>
    <t>MJ</t>
  </si>
  <si>
    <t>B (biosphère)</t>
  </si>
  <si>
    <t>substance</t>
  </si>
  <si>
    <t>CO2</t>
  </si>
  <si>
    <t>CH4</t>
  </si>
  <si>
    <t>Énergie primaire</t>
  </si>
  <si>
    <t>Lithium</t>
  </si>
  <si>
    <t>Cuivre</t>
  </si>
  <si>
    <t>Acier</t>
  </si>
  <si>
    <t>Aluminium</t>
  </si>
  <si>
    <t>C (caractérisation)</t>
  </si>
  <si>
    <t>indicateur</t>
  </si>
  <si>
    <t>GES</t>
  </si>
  <si>
    <t>kg CO2 eq.</t>
  </si>
  <si>
    <t>Matériaux</t>
  </si>
  <si>
    <t>kg Sb eq.</t>
  </si>
  <si>
    <t>MATRICES ACV (CALCULS INTERMÉDIAIRES)</t>
  </si>
  <si>
    <t>C*B</t>
  </si>
  <si>
    <t>I</t>
  </si>
  <si>
    <t>L (inverse de Leontief)</t>
  </si>
  <si>
    <t>E (inventaire des flux élémentaires)</t>
  </si>
  <si>
    <t>MATRICES ACV (RÉSULTATS)</t>
  </si>
  <si>
    <t>D</t>
  </si>
  <si>
    <t>Feuille</t>
  </si>
  <si>
    <t>Contenu</t>
  </si>
  <si>
    <t>Inventaire</t>
  </si>
  <si>
    <t>Contient les données d'ACV pour mener le calcul d'évaluation d'impact</t>
  </si>
  <si>
    <t>Analyse d'impacts</t>
  </si>
  <si>
    <t>Comparaison de l'impact des deux véhicules</t>
  </si>
  <si>
    <t>Composition voiture</t>
  </si>
  <si>
    <t>Information sur la composition d'un véhicule</t>
  </si>
  <si>
    <t>Production batterie</t>
  </si>
  <si>
    <t>Information sur la production et la fin de vie d'une batterie de véhicule électrique</t>
  </si>
  <si>
    <t>Mix électriques</t>
  </si>
  <si>
    <t>Composition des mix électriques</t>
  </si>
  <si>
    <t>Carburant</t>
  </si>
  <si>
    <t>Demande en énergie et émissions due à la production du carburant</t>
  </si>
  <si>
    <t>Résultats absolus</t>
  </si>
  <si>
    <t>Résultats relatifs</t>
  </si>
  <si>
    <t>COLOUR LEGEND</t>
  </si>
  <si>
    <t>Changement climatique (g CO2 eq.)</t>
  </si>
  <si>
    <t>Énergie primaire (100 J)</t>
  </si>
  <si>
    <t>Matériaux (μg Sb eq.)</t>
  </si>
  <si>
    <t>Changement climatique</t>
  </si>
  <si>
    <t>Use phase — fuel/electricity</t>
  </si>
  <si>
    <t>Vehicle body production</t>
  </si>
  <si>
    <t>Allemagne 2020</t>
  </si>
  <si>
    <t>France 2020</t>
  </si>
  <si>
    <t>Allemagne 2040, tendanciel</t>
  </si>
  <si>
    <t>France 2040, tendanciel</t>
  </si>
  <si>
    <t>Allemagne 2040, optimiste</t>
  </si>
  <si>
    <t>France 2040, optimiste</t>
  </si>
  <si>
    <t>Battery net (prod − recycling)</t>
  </si>
  <si>
    <t>Maintenance</t>
  </si>
  <si>
    <t>Upstream cascades (fuel + elec.)</t>
  </si>
  <si>
    <t>TOTAL</t>
  </si>
  <si>
    <t>total</t>
  </si>
  <si>
    <t>Élément</t>
  </si>
  <si>
    <t>Voiture thermique</t>
  </si>
  <si>
    <t>Voiture électrique (hors batterie)</t>
  </si>
  <si>
    <t>Facteurs CO2</t>
  </si>
  <si>
    <t>Facteurs énergie primaire</t>
  </si>
  <si>
    <t>https://www.greenncap.com/wp-content/uploads/Green-NCAP-Life-Cycle-Assessment-Methodology-and-Data.pdf</t>
  </si>
  <si>
    <t>Fonte</t>
  </si>
  <si>
    <t>Verre</t>
  </si>
  <si>
    <t>Peinture</t>
  </si>
  <si>
    <t>Plastiques</t>
  </si>
  <si>
    <t>Gomme</t>
  </si>
  <si>
    <t>Lubrifiant</t>
  </si>
  <si>
    <t>Métaux non ferreux</t>
  </si>
  <si>
    <t>Électronique</t>
  </si>
  <si>
    <t>Textiles</t>
  </si>
  <si>
    <t>Fibre de carbone</t>
  </si>
  <si>
    <t>Batterie lithium-ion</t>
  </si>
  <si>
    <t>Production</t>
  </si>
  <si>
    <t>Chine</t>
  </si>
  <si>
    <t>EU</t>
  </si>
  <si>
    <t>US</t>
  </si>
  <si>
    <t>Recyclage</t>
  </si>
  <si>
    <t>France, scénario tendanciel, 2020</t>
  </si>
  <si>
    <t>France, scénario tendanciel, 2030</t>
  </si>
  <si>
    <t>France, scénario tendanciel, 2040</t>
  </si>
  <si>
    <t>France, scénario tendanciel, 2050</t>
  </si>
  <si>
    <t>Allemagne, scénario tendanciel, 2020</t>
  </si>
  <si>
    <t>Allemagne, scénario tendanciel, 2030</t>
  </si>
  <si>
    <t>Allemagne, scénario tendanciel, 2040</t>
  </si>
  <si>
    <t>Allemagne, scénario tendanciel, 2050</t>
  </si>
  <si>
    <t>France, scénario optimiste, 2020</t>
  </si>
  <si>
    <t>France, scénario optimiste, 2030</t>
  </si>
  <si>
    <t>France, scénario optimiste, 2040</t>
  </si>
  <si>
    <t>France, scénario optimiste, 2050</t>
  </si>
  <si>
    <t>Allemagne, scénario optimiste, 2020</t>
  </si>
  <si>
    <t>Allemagne, scénario optimiste, 2030</t>
  </si>
  <si>
    <t>Allemagne, scénario optimiste, 2040</t>
  </si>
  <si>
    <t>Allemagne, scénario optimiste, 2050</t>
  </si>
  <si>
    <t>Source</t>
  </si>
  <si>
    <t>https://climate.ec.europa.eu/system/files/2020-09/2020_study_main_report_en.pdf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</si>
</sst>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%"/>
    <numFmt numFmtId="166" formatCode="0.000"/>
    <numFmt numFmtId="167" formatCode="0E+00"/>
    <numFmt numFmtId="168" formatCode="0.0E+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Arial Nova"/>
      <family val="2"/>
    </font>
    <font>
      <b/>
      <sz val="8"/>
      <color theme="1"/>
      <name val="Arial Nova"/>
      <family val="2"/>
    </font>
    <font>
      <sz val="10"/>
      <name val="Calibri"/>
      <family val="2"/>
      <scheme val="minor"/>
    </font>
    <font>
      <u/>
      <sz val="8"/>
      <color theme="10"/>
      <name val="Arial Nova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color rgb="FFFF0000"/>
      <name val="Calibri"/>
    </font>
    <font>
      <b/>
      <sz val="11"/>
      <name val="Calibri"/>
    </font>
    <font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AF4D7"/>
        <bgColor rgb="FF000000"/>
      </patternFill>
    </fill>
    <fill>
      <patternFill patternType="solid">
        <fgColor rgb="FF4FC3F7"/>
      </patternFill>
    </fill>
    <fill>
      <patternFill patternType="solid">
        <fgColor rgb="FFFFB74D"/>
      </patternFill>
    </fill>
    <fill>
      <patternFill patternType="solid">
        <fgColor rgb="FF81C784"/>
      </patternFill>
    </fill>
    <fill>
      <patternFill patternType="solid">
        <fgColor rgb="FFCE93D8"/>
      </patternFill>
    </fill>
    <fill>
      <patternFill patternType="solid">
        <fgColor rgb="FFF48FB1"/>
      </patternFill>
    </fill>
    <fill>
      <patternFill patternType="solid">
        <fgColor rgb="FFFFFF00"/>
      </patternFill>
    </fill>
    <fill>
      <patternFill patternType="solid">
        <fgColor rgb="FFFFFFFF"/>
      </patternFill>
    </fill>
  </fills>
  <borders count="21">
    <border>
      <left/>
      <right/>
      <top/>
      <bottom/>
      <diagonal/>
    </border>
    <border>
      <left style="dotted">
        <color rgb="FF4D661C"/>
      </left>
      <right style="dotted">
        <color rgb="FF4D661C"/>
      </right>
      <top style="dotted">
        <color rgb="FF4D661C"/>
      </top>
      <bottom style="dotted">
        <color rgb="FF4D661C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9" fontId="1" fillId="0" borderId="0"/>
    <xf numFmtId="0" fontId="2" fillId="0" borderId="0"/>
    <xf numFmtId="0" fontId="5" fillId="3" borderId="1">
      <protection locked="0"/>
    </xf>
  </cellStyleXfs>
  <cellXfs count="111">
    <xf numFmtId="0" fontId="0" fillId="0" borderId="0" xfId="0"/>
    <xf numFmtId="0" fontId="2" fillId="0" borderId="0" xfId="2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textRotation="90"/>
    </xf>
    <xf numFmtId="9" fontId="3" fillId="0" borderId="0" xfId="1" applyFont="1"/>
    <xf numFmtId="0" fontId="3" fillId="0" borderId="0" xfId="0" applyFont="1" applyAlignment="1">
      <alignment wrapText="1"/>
    </xf>
    <xf numFmtId="164" fontId="3" fillId="0" borderId="0" xfId="0" applyNumberFormat="1" applyFont="1"/>
    <xf numFmtId="0" fontId="6" fillId="0" borderId="0" xfId="2" applyFont="1"/>
    <xf numFmtId="165" fontId="3" fillId="0" borderId="0" xfId="0" applyNumberFormat="1" applyFont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2" borderId="0" xfId="0" applyFont="1" applyFill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2" borderId="8" xfId="0" applyFont="1" applyFill="1" applyBorder="1"/>
    <xf numFmtId="0" fontId="3" fillId="2" borderId="5" xfId="0" applyFont="1" applyFill="1" applyBorder="1"/>
    <xf numFmtId="166" fontId="3" fillId="0" borderId="2" xfId="0" applyNumberFormat="1" applyFont="1" applyBorder="1"/>
    <xf numFmtId="164" fontId="3" fillId="0" borderId="3" xfId="0" applyNumberFormat="1" applyFont="1" applyBorder="1"/>
    <xf numFmtId="0" fontId="3" fillId="2" borderId="7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166" fontId="3" fillId="0" borderId="3" xfId="0" applyNumberFormat="1" applyFont="1" applyBorder="1"/>
    <xf numFmtId="0" fontId="3" fillId="0" borderId="10" xfId="0" applyFont="1" applyBorder="1"/>
    <xf numFmtId="0" fontId="3" fillId="0" borderId="11" xfId="0" applyFont="1" applyBorder="1"/>
    <xf numFmtId="164" fontId="3" fillId="2" borderId="11" xfId="0" applyNumberFormat="1" applyFont="1" applyFill="1" applyBorder="1"/>
    <xf numFmtId="164" fontId="3" fillId="0" borderId="11" xfId="0" applyNumberFormat="1" applyFont="1" applyBorder="1"/>
    <xf numFmtId="9" fontId="3" fillId="0" borderId="11" xfId="1" applyFont="1" applyBorder="1"/>
    <xf numFmtId="0" fontId="3" fillId="0" borderId="12" xfId="0" applyFont="1" applyBorder="1"/>
    <xf numFmtId="0" fontId="3" fillId="2" borderId="6" xfId="0" applyFont="1" applyFill="1" applyBorder="1"/>
    <xf numFmtId="164" fontId="3" fillId="0" borderId="2" xfId="0" applyNumberFormat="1" applyFont="1" applyBorder="1"/>
    <xf numFmtId="164" fontId="3" fillId="0" borderId="4" xfId="0" applyNumberFormat="1" applyFont="1" applyBorder="1"/>
    <xf numFmtId="164" fontId="3" fillId="0" borderId="5" xfId="0" applyNumberFormat="1" applyFont="1" applyBorder="1"/>
    <xf numFmtId="164" fontId="3" fillId="0" borderId="6" xfId="0" applyNumberFormat="1" applyFont="1" applyBorder="1"/>
    <xf numFmtId="164" fontId="3" fillId="0" borderId="7" xfId="0" applyNumberFormat="1" applyFont="1" applyBorder="1"/>
    <xf numFmtId="164" fontId="3" fillId="0" borderId="8" xfId="0" applyNumberFormat="1" applyFont="1" applyBorder="1"/>
    <xf numFmtId="164" fontId="3" fillId="0" borderId="9" xfId="0" applyNumberFormat="1" applyFont="1" applyBorder="1"/>
    <xf numFmtId="164" fontId="3" fillId="2" borderId="5" xfId="0" applyNumberFormat="1" applyFont="1" applyFill="1" applyBorder="1"/>
    <xf numFmtId="164" fontId="3" fillId="2" borderId="8" xfId="0" applyNumberFormat="1" applyFont="1" applyFill="1" applyBorder="1"/>
    <xf numFmtId="2" fontId="3" fillId="2" borderId="12" xfId="0" applyNumberFormat="1" applyFont="1" applyFill="1" applyBorder="1"/>
    <xf numFmtId="11" fontId="3" fillId="0" borderId="0" xfId="0" applyNumberFormat="1" applyFont="1"/>
    <xf numFmtId="167" fontId="3" fillId="0" borderId="3" xfId="0" applyNumberFormat="1" applyFont="1" applyBorder="1"/>
    <xf numFmtId="167" fontId="3" fillId="0" borderId="8" xfId="0" applyNumberFormat="1" applyFont="1" applyBorder="1"/>
    <xf numFmtId="167" fontId="3" fillId="0" borderId="0" xfId="0" applyNumberFormat="1" applyFont="1"/>
    <xf numFmtId="167" fontId="3" fillId="2" borderId="8" xfId="0" applyNumberFormat="1" applyFont="1" applyFill="1" applyBorder="1"/>
    <xf numFmtId="167" fontId="3" fillId="2" borderId="9" xfId="0" applyNumberFormat="1" applyFont="1" applyFill="1" applyBorder="1"/>
    <xf numFmtId="167" fontId="3" fillId="2" borderId="6" xfId="0" applyNumberFormat="1" applyFont="1" applyFill="1" applyBorder="1"/>
    <xf numFmtId="0" fontId="7" fillId="0" borderId="0" xfId="0" applyFont="1" applyAlignment="1">
      <alignment horizontal="right"/>
    </xf>
    <xf numFmtId="0" fontId="7" fillId="0" borderId="8" xfId="0" applyFont="1" applyBorder="1" applyAlignment="1">
      <alignment horizontal="right"/>
    </xf>
    <xf numFmtId="0" fontId="0" fillId="0" borderId="8" xfId="0" applyBorder="1"/>
    <xf numFmtId="0" fontId="3" fillId="0" borderId="5" xfId="0" applyFont="1" applyBorder="1" applyAlignment="1">
      <alignment textRotation="90"/>
    </xf>
    <xf numFmtId="0" fontId="3" fillId="0" borderId="6" xfId="0" applyFont="1" applyBorder="1" applyAlignment="1">
      <alignment textRotation="90"/>
    </xf>
    <xf numFmtId="1" fontId="3" fillId="0" borderId="5" xfId="0" applyNumberFormat="1" applyFont="1" applyBorder="1"/>
    <xf numFmtId="1" fontId="3" fillId="0" borderId="0" xfId="0" applyNumberFormat="1" applyFont="1"/>
    <xf numFmtId="1" fontId="3" fillId="0" borderId="6" xfId="0" applyNumberFormat="1" applyFont="1" applyBorder="1"/>
    <xf numFmtId="1" fontId="3" fillId="0" borderId="8" xfId="0" applyNumberFormat="1" applyFont="1" applyBorder="1"/>
    <xf numFmtId="1" fontId="3" fillId="0" borderId="9" xfId="0" applyNumberFormat="1" applyFont="1" applyBorder="1"/>
    <xf numFmtId="0" fontId="4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4" fillId="0" borderId="16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166" fontId="3" fillId="2" borderId="0" xfId="0" applyNumberFormat="1" applyFont="1" applyFill="1"/>
    <xf numFmtId="1" fontId="3" fillId="2" borderId="0" xfId="0" applyNumberFormat="1" applyFont="1" applyFill="1"/>
    <xf numFmtId="0" fontId="4" fillId="0" borderId="19" xfId="0" applyFont="1" applyBorder="1"/>
    <xf numFmtId="11" fontId="3" fillId="0" borderId="19" xfId="0" applyNumberFormat="1" applyFont="1" applyBorder="1"/>
    <xf numFmtId="0" fontId="3" fillId="2" borderId="19" xfId="0" applyFont="1" applyFill="1" applyBorder="1"/>
    <xf numFmtId="11" fontId="3" fillId="0" borderId="14" xfId="0" applyNumberFormat="1" applyFont="1" applyBorder="1"/>
    <xf numFmtId="0" fontId="3" fillId="2" borderId="14" xfId="0" applyFont="1" applyFill="1" applyBorder="1"/>
    <xf numFmtId="164" fontId="3" fillId="2" borderId="0" xfId="0" applyNumberFormat="1" applyFont="1" applyFill="1"/>
    <xf numFmtId="164" fontId="3" fillId="0" borderId="19" xfId="0" applyNumberFormat="1" applyFont="1" applyBorder="1"/>
    <xf numFmtId="167" fontId="3" fillId="0" borderId="19" xfId="0" applyNumberFormat="1" applyFont="1" applyBorder="1"/>
    <xf numFmtId="164" fontId="3" fillId="0" borderId="14" xfId="0" applyNumberFormat="1" applyFont="1" applyBorder="1"/>
    <xf numFmtId="166" fontId="9" fillId="9" borderId="2" xfId="0" applyNumberFormat="1" applyFont="1" applyFill="1" applyBorder="1"/>
    <xf numFmtId="166" fontId="9" fillId="9" borderId="3" xfId="0" applyNumberFormat="1" applyFont="1" applyFill="1" applyBorder="1"/>
    <xf numFmtId="166" fontId="9" fillId="9" borderId="5" xfId="0" applyNumberFormat="1" applyFont="1" applyFill="1" applyBorder="1"/>
    <xf numFmtId="166" fontId="9" fillId="9" borderId="0" xfId="0" applyNumberFormat="1" applyFont="1" applyFill="1"/>
    <xf numFmtId="168" fontId="9" fillId="9" borderId="7" xfId="0" applyNumberFormat="1" applyFont="1" applyFill="1" applyBorder="1"/>
    <xf numFmtId="168" fontId="9" fillId="9" borderId="8" xfId="0" applyNumberFormat="1" applyFont="1" applyFill="1" applyBorder="1"/>
    <xf numFmtId="0" fontId="10" fillId="10" borderId="0" xfId="0" applyFont="1" applyFill="1"/>
    <xf numFmtId="0" fontId="11" fillId="4" borderId="0" xfId="0" applyFont="1" applyFill="1"/>
    <xf numFmtId="0" fontId="11" fillId="5" borderId="0" xfId="0" applyFont="1" applyFill="1"/>
    <xf numFmtId="0" fontId="11" fillId="6" borderId="0" xfId="0" applyFont="1" applyFill="1"/>
    <xf numFmtId="0" fontId="11" fillId="7" borderId="0" xfId="0" applyFont="1" applyFill="1"/>
    <xf numFmtId="1" fontId="8" fillId="4" borderId="5" xfId="0" applyNumberFormat="1" applyFont="1" applyFill="1" applyBorder="1"/>
    <xf numFmtId="0" fontId="11" fillId="8" borderId="0" xfId="0" applyFont="1" applyFill="1"/>
    <xf numFmtId="0" fontId="10" fillId="9" borderId="0" xfId="0" applyFont="1" applyFill="1"/>
    <xf numFmtId="1" fontId="8" fillId="6" borderId="0" xfId="0" applyNumberFormat="1" applyFont="1" applyFill="1"/>
    <xf numFmtId="1" fontId="8" fillId="8" borderId="5" xfId="0" applyNumberFormat="1" applyFont="1" applyFill="1" applyBorder="1"/>
    <xf numFmtId="1" fontId="8" fillId="7" borderId="5" xfId="0" applyNumberFormat="1" applyFont="1" applyFill="1" applyBorder="1"/>
    <xf numFmtId="1" fontId="8" fillId="5" borderId="5" xfId="0" applyNumberFormat="1" applyFont="1" applyFill="1" applyBorder="1"/>
    <xf numFmtId="1" fontId="8" fillId="5" borderId="0" xfId="0" applyNumberFormat="1" applyFont="1" applyFill="1"/>
    <xf numFmtId="1" fontId="8" fillId="4" borderId="0" xfId="0" applyNumberFormat="1" applyFont="1" applyFill="1"/>
    <xf numFmtId="1" fontId="9" fillId="9" borderId="7" xfId="0" applyNumberFormat="1" applyFont="1" applyFill="1" applyBorder="1"/>
    <xf numFmtId="1" fontId="9" fillId="9" borderId="8" xfId="0" applyNumberFormat="1" applyFont="1" applyFill="1" applyBorder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6" xfId="0" applyBorder="1"/>
    <xf numFmtId="0" fontId="4" fillId="0" borderId="10" xfId="0" applyFont="1" applyBorder="1" applyAlignment="1">
      <alignment horizontal="center"/>
    </xf>
    <xf numFmtId="0" fontId="0" fillId="0" borderId="3" xfId="0" applyBorder="1"/>
    <xf numFmtId="0" fontId="0" fillId="0" borderId="4" xfId="0" applyBorder="1"/>
  </cellXfs>
  <cellStyles count="4">
    <cellStyle name="Hyperlink" xfId="2" builtinId="8"/>
    <cellStyle name="Input (Validation)" xfId="3" xr:uid="{00000000-0005-0000-0000-000003000000}"/>
    <cellStyle name="Normal" xfId="0" builtinId="0"/>
    <cellStyle name="Percent" xfId="1" builtinId="5"/>
  </cellStyles>
  <dxfs count="3">
    <dxf>
      <font>
        <color theme="2"/>
      </font>
      <fill>
        <patternFill>
          <bgColor auto="1"/>
        </patternFill>
      </fill>
    </dxf>
    <dxf>
      <font>
        <color theme="2"/>
      </font>
      <fill>
        <patternFill>
          <bgColor auto="1"/>
        </patternFill>
      </fill>
    </dxf>
    <dxf>
      <font>
        <color theme="2"/>
      </font>
      <fill>
        <patternFill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r>
              <a:rPr lang="en-IE"/>
              <a:t>Comparaison</a:t>
            </a:r>
            <a:r>
              <a:rPr lang="en-IE" baseline="0"/>
              <a:t> entre mix électriques</a:t>
            </a:r>
            <a:endParaRPr lang="en-IE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'Analyse d''impacts'!$A$6:$B$6</c:f>
              <c:strCache>
                <c:ptCount val="2"/>
                <c:pt idx="0">
                  <c:v>transport, voiture diesel</c:v>
                </c:pt>
                <c:pt idx="1">
                  <c:v>km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d''impacts'!$R$6:$X$6</c:f>
              <c:numCache>
                <c:formatCode>0.0</c:formatCode>
                <c:ptCount val="7"/>
                <c:pt idx="0">
                  <c:v>187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27-433D-B4B0-BD96BC9FEE56}"/>
            </c:ext>
          </c:extLst>
        </c:ser>
        <c:ser>
          <c:idx val="1"/>
          <c:order val="1"/>
          <c:tx>
            <c:strRef>
              <c:f>'Analyse d''impacts'!$A$7:$B$7</c:f>
              <c:strCache>
                <c:ptCount val="2"/>
                <c:pt idx="0">
                  <c:v>transport, voiture électrique</c:v>
                </c:pt>
                <c:pt idx="1">
                  <c:v>km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d''impacts'!$R$7:$X$7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27-433D-B4B0-BD96BC9FEE56}"/>
            </c:ext>
          </c:extLst>
        </c:ser>
        <c:ser>
          <c:idx val="2"/>
          <c:order val="2"/>
          <c:tx>
            <c:strRef>
              <c:f>'Analyse d''impacts'!$A$8:$B$8</c:f>
              <c:strCache>
                <c:ptCount val="2"/>
                <c:pt idx="0">
                  <c:v>voiture diesel</c:v>
                </c:pt>
                <c:pt idx="1">
                  <c:v>u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d''impacts'!$R$8:$X$8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27-433D-B4B0-BD96BC9FEE56}"/>
            </c:ext>
          </c:extLst>
        </c:ser>
        <c:ser>
          <c:idx val="3"/>
          <c:order val="3"/>
          <c:tx>
            <c:strRef>
              <c:f>'Analyse d''impacts'!$A$9:$B$9</c:f>
              <c:strCache>
                <c:ptCount val="2"/>
                <c:pt idx="0">
                  <c:v>voiture électrique</c:v>
                </c:pt>
                <c:pt idx="1">
                  <c:v>u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d''impacts'!$R$9:$X$9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27-433D-B4B0-BD96BC9FEE56}"/>
            </c:ext>
          </c:extLst>
        </c:ser>
        <c:ser>
          <c:idx val="4"/>
          <c:order val="4"/>
          <c:tx>
            <c:strRef>
              <c:f>'Analyse d''impacts'!$A$10:$B$10</c:f>
              <c:strCache>
                <c:ptCount val="2"/>
                <c:pt idx="0">
                  <c:v>batterie lithium-ion, production</c:v>
                </c:pt>
                <c:pt idx="1">
                  <c:v>kWh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d''impacts'!$R$10:$X$10</c:f>
              <c:numCache>
                <c:formatCode>0.0</c:formatCode>
                <c:ptCount val="7"/>
                <c:pt idx="0">
                  <c:v>0</c:v>
                </c:pt>
                <c:pt idx="1">
                  <c:v>17.2896</c:v>
                </c:pt>
                <c:pt idx="2">
                  <c:v>17.2896</c:v>
                </c:pt>
                <c:pt idx="3">
                  <c:v>17.2896</c:v>
                </c:pt>
                <c:pt idx="4">
                  <c:v>17.2896</c:v>
                </c:pt>
                <c:pt idx="5">
                  <c:v>17.2896</c:v>
                </c:pt>
                <c:pt idx="6">
                  <c:v>17.2896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27-433D-B4B0-BD96BC9FEE56}"/>
            </c:ext>
          </c:extLst>
        </c:ser>
        <c:ser>
          <c:idx val="5"/>
          <c:order val="5"/>
          <c:tx>
            <c:strRef>
              <c:f>'Analyse d''impacts'!$A$11:$B$11</c:f>
              <c:strCache>
                <c:ptCount val="2"/>
                <c:pt idx="0">
                  <c:v>batterie lithium-ion, recyclage</c:v>
                </c:pt>
                <c:pt idx="1">
                  <c:v>kWh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d''impacts'!$R$11:$X$11</c:f>
              <c:numCache>
                <c:formatCode>0.0</c:formatCode>
                <c:ptCount val="7"/>
                <c:pt idx="0">
                  <c:v>0</c:v>
                </c:pt>
                <c:pt idx="1">
                  <c:v>-1.7472000000000001</c:v>
                </c:pt>
                <c:pt idx="2">
                  <c:v>-1.7472000000000001</c:v>
                </c:pt>
                <c:pt idx="3">
                  <c:v>-1.7472000000000001</c:v>
                </c:pt>
                <c:pt idx="4">
                  <c:v>-1.7472000000000001</c:v>
                </c:pt>
                <c:pt idx="5">
                  <c:v>-1.7472000000000001</c:v>
                </c:pt>
                <c:pt idx="6">
                  <c:v>-1.7472000000000001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227-433D-B4B0-BD96BC9FEE56}"/>
            </c:ext>
          </c:extLst>
        </c:ser>
        <c:ser>
          <c:idx val="6"/>
          <c:order val="6"/>
          <c:tx>
            <c:strRef>
              <c:f>'Analyse d''impacts'!$A$12:$B$12</c:f>
              <c:strCache>
                <c:ptCount val="2"/>
                <c:pt idx="0">
                  <c:v>gazole</c:v>
                </c:pt>
                <c:pt idx="1">
                  <c:v>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d''impacts'!$R$12:$X$12</c:f>
              <c:numCache>
                <c:formatCode>0.0</c:formatCode>
                <c:ptCount val="7"/>
                <c:pt idx="0">
                  <c:v>41.3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227-433D-B4B0-BD96BC9FEE56}"/>
            </c:ext>
          </c:extLst>
        </c:ser>
        <c:ser>
          <c:idx val="7"/>
          <c:order val="7"/>
          <c:tx>
            <c:strRef>
              <c:f>'Analyse d''impacts'!$A$13:$B$13</c:f>
              <c:strCache>
                <c:ptCount val="2"/>
                <c:pt idx="0">
                  <c:v>maintenance</c:v>
                </c:pt>
                <c:pt idx="1">
                  <c:v>h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d''impacts'!$R$13:$X$13</c:f>
              <c:numCache>
                <c:formatCode>0.0</c:formatCode>
                <c:ptCount val="7"/>
                <c:pt idx="0">
                  <c:v>0.6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227-433D-B4B0-BD96BC9FEE56}"/>
            </c:ext>
          </c:extLst>
        </c:ser>
        <c:ser>
          <c:idx val="8"/>
          <c:order val="8"/>
          <c:tx>
            <c:strRef>
              <c:f>'Analyse d''impacts'!$A$14:$B$14</c:f>
              <c:strCache>
                <c:ptCount val="2"/>
                <c:pt idx="0">
                  <c:v>acier</c:v>
                </c:pt>
                <c:pt idx="1">
                  <c:v>kg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d''impacts'!$R$14:$X$14</c:f>
              <c:numCache>
                <c:formatCode>0.0</c:formatCode>
                <c:ptCount val="7"/>
                <c:pt idx="0">
                  <c:v>8.2972239999999786</c:v>
                </c:pt>
                <c:pt idx="1">
                  <c:v>7.1096479999999724</c:v>
                </c:pt>
                <c:pt idx="2">
                  <c:v>7.1096479999999724</c:v>
                </c:pt>
                <c:pt idx="3">
                  <c:v>7.1096479999999724</c:v>
                </c:pt>
                <c:pt idx="4">
                  <c:v>7.1096479999999724</c:v>
                </c:pt>
                <c:pt idx="5">
                  <c:v>7.1096479999999724</c:v>
                </c:pt>
                <c:pt idx="6">
                  <c:v>7.1096479999999724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227-433D-B4B0-BD96BC9FEE56}"/>
            </c:ext>
          </c:extLst>
        </c:ser>
        <c:ser>
          <c:idx val="9"/>
          <c:order val="9"/>
          <c:tx>
            <c:strRef>
              <c:f>'Analyse d''impacts'!$A$15:$B$15</c:f>
              <c:strCache>
                <c:ptCount val="2"/>
                <c:pt idx="0">
                  <c:v>fonte</c:v>
                </c:pt>
                <c:pt idx="1">
                  <c:v>kg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d''impacts'!$R$15:$X$15</c:f>
              <c:numCache>
                <c:formatCode>0.0</c:formatCode>
                <c:ptCount val="7"/>
                <c:pt idx="0">
                  <c:v>0.57527999999999913</c:v>
                </c:pt>
                <c:pt idx="1">
                  <c:v>0.31103999999999737</c:v>
                </c:pt>
                <c:pt idx="2">
                  <c:v>0.31103999999999737</c:v>
                </c:pt>
                <c:pt idx="3">
                  <c:v>0.31103999999999737</c:v>
                </c:pt>
                <c:pt idx="4">
                  <c:v>0.31103999999999737</c:v>
                </c:pt>
                <c:pt idx="5">
                  <c:v>0.31103999999999737</c:v>
                </c:pt>
                <c:pt idx="6">
                  <c:v>0.31103999999999737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227-433D-B4B0-BD96BC9FEE56}"/>
            </c:ext>
          </c:extLst>
        </c:ser>
        <c:ser>
          <c:idx val="10"/>
          <c:order val="10"/>
          <c:tx>
            <c:strRef>
              <c:f>'Analyse d''impacts'!$A$16:$B$16</c:f>
              <c:strCache>
                <c:ptCount val="2"/>
                <c:pt idx="0">
                  <c:v>aluminium</c:v>
                </c:pt>
                <c:pt idx="1">
                  <c:v>kg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d''impacts'!$R$16:$X$16</c:f>
              <c:numCache>
                <c:formatCode>0.0</c:formatCode>
                <c:ptCount val="7"/>
                <c:pt idx="0">
                  <c:v>9.7508599999999586</c:v>
                </c:pt>
                <c:pt idx="1">
                  <c:v>12.70551999999998</c:v>
                </c:pt>
                <c:pt idx="2">
                  <c:v>12.70551999999998</c:v>
                </c:pt>
                <c:pt idx="3">
                  <c:v>12.70551999999998</c:v>
                </c:pt>
                <c:pt idx="4">
                  <c:v>12.70551999999998</c:v>
                </c:pt>
                <c:pt idx="5">
                  <c:v>12.70551999999998</c:v>
                </c:pt>
                <c:pt idx="6">
                  <c:v>12.70551999999998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227-433D-B4B0-BD96BC9FEE56}"/>
            </c:ext>
          </c:extLst>
        </c:ser>
        <c:ser>
          <c:idx val="11"/>
          <c:order val="11"/>
          <c:tx>
            <c:strRef>
              <c:f>'Analyse d''impacts'!$A$17:$B$17</c:f>
              <c:strCache>
                <c:ptCount val="2"/>
                <c:pt idx="0">
                  <c:v>verre</c:v>
                </c:pt>
                <c:pt idx="1">
                  <c:v>kg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d''impacts'!$R$17:$X$17</c:f>
              <c:numCache>
                <c:formatCode>0.0</c:formatCode>
                <c:ptCount val="7"/>
                <c:pt idx="0">
                  <c:v>0.16904799999999939</c:v>
                </c:pt>
                <c:pt idx="1">
                  <c:v>0.1735679999999995</c:v>
                </c:pt>
                <c:pt idx="2">
                  <c:v>0.1735679999999995</c:v>
                </c:pt>
                <c:pt idx="3">
                  <c:v>0.1735679999999995</c:v>
                </c:pt>
                <c:pt idx="4">
                  <c:v>0.1735679999999995</c:v>
                </c:pt>
                <c:pt idx="5">
                  <c:v>0.1735679999999995</c:v>
                </c:pt>
                <c:pt idx="6">
                  <c:v>0.1735679999999995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227-433D-B4B0-BD96BC9FEE56}"/>
            </c:ext>
          </c:extLst>
        </c:ser>
        <c:ser>
          <c:idx val="12"/>
          <c:order val="12"/>
          <c:tx>
            <c:strRef>
              <c:f>'Analyse d''impacts'!$A$18:$B$18</c:f>
              <c:strCache>
                <c:ptCount val="2"/>
                <c:pt idx="0">
                  <c:v>peinture</c:v>
                </c:pt>
                <c:pt idx="1">
                  <c:v>kg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d''impacts'!$R$18:$X$18</c:f>
              <c:numCache>
                <c:formatCode>0.0</c:formatCode>
                <c:ptCount val="7"/>
                <c:pt idx="0">
                  <c:v>0.15449599999999961</c:v>
                </c:pt>
                <c:pt idx="1">
                  <c:v>0.14540799999999959</c:v>
                </c:pt>
                <c:pt idx="2">
                  <c:v>0.14540799999999959</c:v>
                </c:pt>
                <c:pt idx="3">
                  <c:v>0.14540799999999959</c:v>
                </c:pt>
                <c:pt idx="4">
                  <c:v>0.14540799999999959</c:v>
                </c:pt>
                <c:pt idx="5">
                  <c:v>0.14540799999999959</c:v>
                </c:pt>
                <c:pt idx="6">
                  <c:v>0.14540799999999959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227-433D-B4B0-BD96BC9FEE56}"/>
            </c:ext>
          </c:extLst>
        </c:ser>
        <c:ser>
          <c:idx val="13"/>
          <c:order val="13"/>
          <c:tx>
            <c:strRef>
              <c:f>'Analyse d''impacts'!$A$19:$B$19</c:f>
              <c:strCache>
                <c:ptCount val="2"/>
                <c:pt idx="0">
                  <c:v>plastiques</c:v>
                </c:pt>
                <c:pt idx="1">
                  <c:v>kg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d''impacts'!$R$19:$X$19</c:f>
              <c:numCache>
                <c:formatCode>0.0</c:formatCode>
                <c:ptCount val="7"/>
                <c:pt idx="0">
                  <c:v>2.7002799999999918</c:v>
                </c:pt>
                <c:pt idx="1">
                  <c:v>2.7667039999999932</c:v>
                </c:pt>
                <c:pt idx="2">
                  <c:v>2.7667039999999932</c:v>
                </c:pt>
                <c:pt idx="3">
                  <c:v>2.7667039999999932</c:v>
                </c:pt>
                <c:pt idx="4">
                  <c:v>2.7667039999999932</c:v>
                </c:pt>
                <c:pt idx="5">
                  <c:v>2.7667039999999932</c:v>
                </c:pt>
                <c:pt idx="6">
                  <c:v>2.7667039999999932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227-433D-B4B0-BD96BC9FEE56}"/>
            </c:ext>
          </c:extLst>
        </c:ser>
        <c:ser>
          <c:idx val="14"/>
          <c:order val="14"/>
          <c:tx>
            <c:strRef>
              <c:f>'Analyse d''impacts'!$A$20:$B$20</c:f>
              <c:strCache>
                <c:ptCount val="2"/>
                <c:pt idx="0">
                  <c:v>gomme</c:v>
                </c:pt>
                <c:pt idx="1">
                  <c:v>kg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d''impacts'!$R$20:$X$20</c:f>
              <c:numCache>
                <c:formatCode>0.0</c:formatCode>
                <c:ptCount val="7"/>
                <c:pt idx="0">
                  <c:v>0.83027999999999735</c:v>
                </c:pt>
                <c:pt idx="1">
                  <c:v>0.84479999999999755</c:v>
                </c:pt>
                <c:pt idx="2">
                  <c:v>0.84479999999999755</c:v>
                </c:pt>
                <c:pt idx="3">
                  <c:v>0.84479999999999755</c:v>
                </c:pt>
                <c:pt idx="4">
                  <c:v>0.84479999999999755</c:v>
                </c:pt>
                <c:pt idx="5">
                  <c:v>0.84479999999999755</c:v>
                </c:pt>
                <c:pt idx="6">
                  <c:v>0.84479999999999755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227-433D-B4B0-BD96BC9FEE56}"/>
            </c:ext>
          </c:extLst>
        </c:ser>
        <c:ser>
          <c:idx val="15"/>
          <c:order val="15"/>
          <c:tx>
            <c:strRef>
              <c:f>'Analyse d''impacts'!$A$21:$B$21</c:f>
              <c:strCache>
                <c:ptCount val="2"/>
                <c:pt idx="0">
                  <c:v>lubrifiant</c:v>
                </c:pt>
                <c:pt idx="1">
                  <c:v>kg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d''impacts'!$R$21:$X$21</c:f>
              <c:numCache>
                <c:formatCode>0.0</c:formatCode>
                <c:ptCount val="7"/>
                <c:pt idx="0">
                  <c:v>0.25703999999999971</c:v>
                </c:pt>
                <c:pt idx="1">
                  <c:v>0.10751999999999901</c:v>
                </c:pt>
                <c:pt idx="2">
                  <c:v>0.10751999999999901</c:v>
                </c:pt>
                <c:pt idx="3">
                  <c:v>0.10751999999999901</c:v>
                </c:pt>
                <c:pt idx="4">
                  <c:v>0.10751999999999901</c:v>
                </c:pt>
                <c:pt idx="5">
                  <c:v>0.10751999999999901</c:v>
                </c:pt>
                <c:pt idx="6">
                  <c:v>0.10751999999999901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227-433D-B4B0-BD96BC9FEE56}"/>
            </c:ext>
          </c:extLst>
        </c:ser>
        <c:ser>
          <c:idx val="16"/>
          <c:order val="16"/>
          <c:tx>
            <c:strRef>
              <c:f>'Analyse d''impacts'!$A$22:$B$22</c:f>
              <c:strCache>
                <c:ptCount val="2"/>
                <c:pt idx="0">
                  <c:v>cuivre</c:v>
                </c:pt>
                <c:pt idx="1">
                  <c:v>kg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d''impacts'!$R$22:$X$22</c:f>
              <c:numCache>
                <c:formatCode>0.0</c:formatCode>
                <c:ptCount val="7"/>
                <c:pt idx="0">
                  <c:v>0.56460399999999733</c:v>
                </c:pt>
                <c:pt idx="1">
                  <c:v>1.288047999999999</c:v>
                </c:pt>
                <c:pt idx="2">
                  <c:v>1.288047999999999</c:v>
                </c:pt>
                <c:pt idx="3">
                  <c:v>1.288047999999999</c:v>
                </c:pt>
                <c:pt idx="4">
                  <c:v>1.288047999999999</c:v>
                </c:pt>
                <c:pt idx="5">
                  <c:v>1.288047999999999</c:v>
                </c:pt>
                <c:pt idx="6">
                  <c:v>1.288047999999999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227-433D-B4B0-BD96BC9FEE56}"/>
            </c:ext>
          </c:extLst>
        </c:ser>
        <c:ser>
          <c:idx val="17"/>
          <c:order val="17"/>
          <c:tx>
            <c:strRef>
              <c:f>'Analyse d''impacts'!$A$23:$B$23</c:f>
              <c:strCache>
                <c:ptCount val="2"/>
                <c:pt idx="0">
                  <c:v>métaux non ferreux</c:v>
                </c:pt>
                <c:pt idx="1">
                  <c:v>kg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d''impacts'!$R$23:$X$23</c:f>
              <c:numCache>
                <c:formatCode>0.0</c:formatCode>
                <c:ptCount val="7"/>
                <c:pt idx="0">
                  <c:v>0.2086239999999972</c:v>
                </c:pt>
                <c:pt idx="1">
                  <c:v>0.78540800000000111</c:v>
                </c:pt>
                <c:pt idx="2">
                  <c:v>0.78540800000000111</c:v>
                </c:pt>
                <c:pt idx="3">
                  <c:v>0.78540800000000111</c:v>
                </c:pt>
                <c:pt idx="4">
                  <c:v>0.78540800000000111</c:v>
                </c:pt>
                <c:pt idx="5">
                  <c:v>0.78540800000000111</c:v>
                </c:pt>
                <c:pt idx="6">
                  <c:v>0.78540800000000111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8227-433D-B4B0-BD96BC9FEE56}"/>
            </c:ext>
          </c:extLst>
        </c:ser>
        <c:ser>
          <c:idx val="18"/>
          <c:order val="18"/>
          <c:tx>
            <c:strRef>
              <c:f>'Analyse d''impacts'!$A$24:$B$24</c:f>
              <c:strCache>
                <c:ptCount val="2"/>
                <c:pt idx="0">
                  <c:v>électronique</c:v>
                </c:pt>
                <c:pt idx="1">
                  <c:v>kg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d''impacts'!$R$24:$X$24</c:f>
              <c:numCache>
                <c:formatCode>0.0</c:formatCode>
                <c:ptCount val="7"/>
                <c:pt idx="0">
                  <c:v>11.706947999999951</c:v>
                </c:pt>
                <c:pt idx="1">
                  <c:v>13.36262399999997</c:v>
                </c:pt>
                <c:pt idx="2">
                  <c:v>13.36262399999997</c:v>
                </c:pt>
                <c:pt idx="3">
                  <c:v>13.36262399999997</c:v>
                </c:pt>
                <c:pt idx="4">
                  <c:v>13.36262399999997</c:v>
                </c:pt>
                <c:pt idx="5">
                  <c:v>13.36262399999997</c:v>
                </c:pt>
                <c:pt idx="6">
                  <c:v>13.36262399999997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8227-433D-B4B0-BD96BC9FEE56}"/>
            </c:ext>
          </c:extLst>
        </c:ser>
        <c:ser>
          <c:idx val="19"/>
          <c:order val="19"/>
          <c:tx>
            <c:strRef>
              <c:f>'Analyse d''impacts'!$A$25:$B$25</c:f>
              <c:strCache>
                <c:ptCount val="2"/>
                <c:pt idx="0">
                  <c:v>textiles</c:v>
                </c:pt>
                <c:pt idx="1">
                  <c:v>kg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d''impacts'!$R$25:$X$25</c:f>
              <c:numCache>
                <c:formatCode>0.0</c:formatCode>
                <c:ptCount val="7"/>
                <c:pt idx="0">
                  <c:v>6.1012999999999789</c:v>
                </c:pt>
                <c:pt idx="1">
                  <c:v>6.3631999999999822</c:v>
                </c:pt>
                <c:pt idx="2">
                  <c:v>6.3631999999999822</c:v>
                </c:pt>
                <c:pt idx="3">
                  <c:v>6.3631999999999822</c:v>
                </c:pt>
                <c:pt idx="4">
                  <c:v>6.3631999999999822</c:v>
                </c:pt>
                <c:pt idx="5">
                  <c:v>6.3631999999999822</c:v>
                </c:pt>
                <c:pt idx="6">
                  <c:v>6.3631999999999822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8227-433D-B4B0-BD96BC9FEE56}"/>
            </c:ext>
          </c:extLst>
        </c:ser>
        <c:ser>
          <c:idx val="20"/>
          <c:order val="20"/>
          <c:tx>
            <c:strRef>
              <c:f>'Analyse d''impacts'!$A$26:$B$26</c:f>
              <c:strCache>
                <c:ptCount val="2"/>
                <c:pt idx="0">
                  <c:v>fibre de carbone</c:v>
                </c:pt>
                <c:pt idx="1">
                  <c:v>kg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d''impacts'!$R$26:$X$26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8227-433D-B4B0-BD96BC9FEE56}"/>
            </c:ext>
          </c:extLst>
        </c:ser>
        <c:ser>
          <c:idx val="21"/>
          <c:order val="21"/>
          <c:tx>
            <c:strRef>
              <c:f>'Analyse d''impacts'!$A$27:$B$27</c:f>
              <c:strCache>
                <c:ptCount val="2"/>
                <c:pt idx="0">
                  <c:v>électricité du réseau, Allemagne</c:v>
                </c:pt>
                <c:pt idx="1">
                  <c:v>kWh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d''impacts'!$R$27:$X$27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8227-433D-B4B0-BD96BC9FEE56}"/>
            </c:ext>
          </c:extLst>
        </c:ser>
        <c:ser>
          <c:idx val="22"/>
          <c:order val="22"/>
          <c:tx>
            <c:strRef>
              <c:f>'Analyse d''impacts'!$A$28:$B$28</c:f>
              <c:strCache>
                <c:ptCount val="2"/>
                <c:pt idx="0">
                  <c:v>électricité du réseau, France</c:v>
                </c:pt>
                <c:pt idx="1">
                  <c:v>kWh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d''impacts'!$R$28:$X$28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227-433D-B4B0-BD96BC9FEE56}"/>
            </c:ext>
          </c:extLst>
        </c:ser>
        <c:ser>
          <c:idx val="23"/>
          <c:order val="23"/>
          <c:tx>
            <c:strRef>
              <c:f>'Analyse d''impacts'!$A$29:$B$29</c:f>
              <c:strCache>
                <c:ptCount val="2"/>
                <c:pt idx="0">
                  <c:v>électricité nucléaire</c:v>
                </c:pt>
                <c:pt idx="1">
                  <c:v>kWh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d''impacts'!$R$29:$X$29</c:f>
              <c:numCache>
                <c:formatCode>0.0</c:formatCode>
                <c:ptCount val="7"/>
                <c:pt idx="0">
                  <c:v>1.495755108426172E-3</c:v>
                </c:pt>
                <c:pt idx="1">
                  <c:v>7.2050241354943936E-2</c:v>
                </c:pt>
                <c:pt idx="2">
                  <c:v>0.78929159600621412</c:v>
                </c:pt>
                <c:pt idx="3">
                  <c:v>0</c:v>
                </c:pt>
                <c:pt idx="4">
                  <c:v>0.44976484558758201</c:v>
                </c:pt>
                <c:pt idx="5">
                  <c:v>0</c:v>
                </c:pt>
                <c:pt idx="6">
                  <c:v>0.42137647304020498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8227-433D-B4B0-BD96BC9FEE56}"/>
            </c:ext>
          </c:extLst>
        </c:ser>
        <c:ser>
          <c:idx val="24"/>
          <c:order val="24"/>
          <c:tx>
            <c:strRef>
              <c:f>'Analyse d''impacts'!$A$30:$B$30</c:f>
              <c:strCache>
                <c:ptCount val="2"/>
                <c:pt idx="0">
                  <c:v>électricité éolienne</c:v>
                </c:pt>
                <c:pt idx="1">
                  <c:v>kWh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d''impacts'!$R$30:$X$30</c:f>
              <c:numCache>
                <c:formatCode>0.0</c:formatCode>
                <c:ptCount val="7"/>
                <c:pt idx="0">
                  <c:v>9.5737576847821984E-3</c:v>
                </c:pt>
                <c:pt idx="1">
                  <c:v>0.46116610130658531</c:v>
                </c:pt>
                <c:pt idx="2">
                  <c:v>0.23819478417126211</c:v>
                </c:pt>
                <c:pt idx="3">
                  <c:v>1.056895041611065</c:v>
                </c:pt>
                <c:pt idx="4">
                  <c:v>0.91956872834536718</c:v>
                </c:pt>
                <c:pt idx="5">
                  <c:v>1.64819863559418</c:v>
                </c:pt>
                <c:pt idx="6">
                  <c:v>0.99311428288306902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227-433D-B4B0-BD96BC9FEE56}"/>
            </c:ext>
          </c:extLst>
        </c:ser>
        <c:ser>
          <c:idx val="25"/>
          <c:order val="25"/>
          <c:tx>
            <c:strRef>
              <c:f>'Analyse d''impacts'!$A$31:$B$31</c:f>
              <c:strCache>
                <c:ptCount val="2"/>
                <c:pt idx="0">
                  <c:v>électricité photovoltaïque</c:v>
                </c:pt>
                <c:pt idx="1">
                  <c:v>kWh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d''impacts'!$R$31:$X$31</c:f>
              <c:numCache>
                <c:formatCode>0.0</c:formatCode>
                <c:ptCount val="7"/>
                <c:pt idx="0">
                  <c:v>1.206302946919406E-2</c:v>
                </c:pt>
                <c:pt idx="1">
                  <c:v>0.58107385348778362</c:v>
                </c:pt>
                <c:pt idx="2">
                  <c:v>0.33497944089163129</c:v>
                </c:pt>
                <c:pt idx="3">
                  <c:v>1.0371103658936871</c:v>
                </c:pt>
                <c:pt idx="4">
                  <c:v>0.78002189101268893</c:v>
                </c:pt>
                <c:pt idx="5">
                  <c:v>1.2423613888564431</c:v>
                </c:pt>
                <c:pt idx="6">
                  <c:v>0.82418438411132766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8227-433D-B4B0-BD96BC9FEE56}"/>
            </c:ext>
          </c:extLst>
        </c:ser>
        <c:ser>
          <c:idx val="26"/>
          <c:order val="26"/>
          <c:tx>
            <c:strRef>
              <c:f>'Analyse d''impacts'!$A$32:$B$32</c:f>
              <c:strCache>
                <c:ptCount val="2"/>
                <c:pt idx="0">
                  <c:v>électricité hydroélectrique</c:v>
                </c:pt>
                <c:pt idx="1">
                  <c:v>kWh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d''impacts'!$R$32:$X$32</c:f>
              <c:numCache>
                <c:formatCode>0.0</c:formatCode>
                <c:ptCount val="7"/>
                <c:pt idx="0">
                  <c:v>1.3800083805865729E-3</c:v>
                </c:pt>
                <c:pt idx="1">
                  <c:v>6.647474331391566E-2</c:v>
                </c:pt>
                <c:pt idx="2">
                  <c:v>0.18735553895412779</c:v>
                </c:pt>
                <c:pt idx="3">
                  <c:v>6.6318259978313351E-2</c:v>
                </c:pt>
                <c:pt idx="4">
                  <c:v>0.16317466032439301</c:v>
                </c:pt>
                <c:pt idx="5">
                  <c:v>5.0018144156855952E-2</c:v>
                </c:pt>
                <c:pt idx="6">
                  <c:v>0.13734517425100079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8227-433D-B4B0-BD96BC9FEE56}"/>
            </c:ext>
          </c:extLst>
        </c:ser>
        <c:ser>
          <c:idx val="27"/>
          <c:order val="27"/>
          <c:tx>
            <c:strRef>
              <c:f>'Analyse d''impacts'!$A$33:$B$33</c:f>
              <c:strCache>
                <c:ptCount val="2"/>
                <c:pt idx="0">
                  <c:v>électricité au charbon</c:v>
                </c:pt>
                <c:pt idx="1">
                  <c:v>kWh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d''impacts'!$R$33:$X$33</c:f>
              <c:numCache>
                <c:formatCode>0.0</c:formatCode>
                <c:ptCount val="7"/>
                <c:pt idx="0">
                  <c:v>2.003316958131717</c:v>
                </c:pt>
                <c:pt idx="1">
                  <c:v>96.499399888873356</c:v>
                </c:pt>
                <c:pt idx="2">
                  <c:v>5.0699318304932834</c:v>
                </c:pt>
                <c:pt idx="3">
                  <c:v>22.941109999127569</c:v>
                </c:pt>
                <c:pt idx="4">
                  <c:v>0.4762549275181191</c:v>
                </c:pt>
                <c:pt idx="5">
                  <c:v>0.96024032373803447</c:v>
                </c:pt>
                <c:pt idx="6">
                  <c:v>1.9934483806547471E-2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8227-433D-B4B0-BD96BC9FEE56}"/>
            </c:ext>
          </c:extLst>
        </c:ser>
        <c:ser>
          <c:idx val="28"/>
          <c:order val="28"/>
          <c:tx>
            <c:strRef>
              <c:f>'Analyse d''impacts'!$A$34:$B$34</c:f>
              <c:strCache>
                <c:ptCount val="2"/>
                <c:pt idx="0">
                  <c:v>électricité au gaz</c:v>
                </c:pt>
                <c:pt idx="1">
                  <c:v>kWh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d''impacts'!$R$34:$X$34</c:f>
              <c:numCache>
                <c:formatCode>0.0</c:formatCode>
                <c:ptCount val="7"/>
                <c:pt idx="0">
                  <c:v>0.63037797668939621</c:v>
                </c:pt>
                <c:pt idx="1">
                  <c:v>30.36518819788742</c:v>
                </c:pt>
                <c:pt idx="2">
                  <c:v>11.578711515002921</c:v>
                </c:pt>
                <c:pt idx="3">
                  <c:v>41.093421480691987</c:v>
                </c:pt>
                <c:pt idx="4">
                  <c:v>3.0789901139055882</c:v>
                </c:pt>
                <c:pt idx="5">
                  <c:v>6.0722348925764589</c:v>
                </c:pt>
                <c:pt idx="6">
                  <c:v>1.360778927297859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8227-433D-B4B0-BD96BC9FEE56}"/>
            </c:ext>
          </c:extLst>
        </c:ser>
        <c:ser>
          <c:idx val="29"/>
          <c:order val="29"/>
          <c:tx>
            <c:strRef>
              <c:f>'Analyse d''impacts'!$A$35:$B$35</c:f>
              <c:strCache>
                <c:ptCount val="2"/>
                <c:pt idx="0">
                  <c:v>électricité, autre</c:v>
                </c:pt>
                <c:pt idx="1">
                  <c:v>kWh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d''impacts'!$R$35:$X$35</c:f>
              <c:numCache>
                <c:formatCode>0.0</c:formatCode>
                <c:ptCount val="7"/>
                <c:pt idx="0">
                  <c:v>0.32729285507422279</c:v>
                </c:pt>
                <c:pt idx="1">
                  <c:v>15.76563507555648</c:v>
                </c:pt>
                <c:pt idx="2">
                  <c:v>7.3823547145161568</c:v>
                </c:pt>
                <c:pt idx="3">
                  <c:v>30.786111485778932</c:v>
                </c:pt>
                <c:pt idx="4">
                  <c:v>10.18315755122569</c:v>
                </c:pt>
                <c:pt idx="5">
                  <c:v>28.231159854714111</c:v>
                </c:pt>
                <c:pt idx="6">
                  <c:v>13.90545623775232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8227-433D-B4B0-BD96BC9FEE56}"/>
            </c:ext>
          </c:extLst>
        </c:ser>
        <c:ser>
          <c:idx val="30"/>
          <c:order val="30"/>
          <c:tx>
            <c:strRef>
              <c:f>'Analyse d''impacts'!$A$36:$B$36</c:f>
              <c:strCache>
                <c:ptCount val="2"/>
                <c:pt idx="0">
                  <c:v>gaz naturel</c:v>
                </c:pt>
                <c:pt idx="1">
                  <c:v>MJ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d''impacts'!$R$36:$X$36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8227-433D-B4B0-BD96BC9FEE56}"/>
            </c:ext>
          </c:extLst>
        </c:ser>
        <c:ser>
          <c:idx val="31"/>
          <c:order val="31"/>
          <c:tx>
            <c:strRef>
              <c:f>'Analyse d''impacts'!$A$37:$B$37</c:f>
              <c:strCache>
                <c:ptCount val="2"/>
                <c:pt idx="0">
                  <c:v>chaleur</c:v>
                </c:pt>
                <c:pt idx="1">
                  <c:v>MJ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d''impacts'!$R$37:$X$37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8227-433D-B4B0-BD96BC9FE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1839568"/>
        <c:axId val="207010496"/>
      </c:barChart>
      <c:lineChart>
        <c:grouping val="standard"/>
        <c:varyColors val="0"/>
        <c:ser>
          <c:idx val="32"/>
          <c:order val="32"/>
          <c:tx>
            <c:strRef>
              <c:f>'Analyse d''impacts'!$A$38:$B$38</c:f>
              <c:strCache>
                <c:ptCount val="2"/>
                <c:pt idx="0">
                  <c:v>total</c:v>
                </c:pt>
              </c:strCache>
            </c:strRef>
          </c:tx>
          <c:spPr>
            <a:ln w="28575" cap="rnd">
              <a:noFill/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d''impacts'!$R$38:$X$38</c:f>
              <c:numCache>
                <c:formatCode>0.0</c:formatCode>
                <c:ptCount val="7"/>
                <c:pt idx="0">
                  <c:v>273.20148434053812</c:v>
                </c:pt>
                <c:pt idx="1">
                  <c:v>205.31687610178039</c:v>
                </c:pt>
                <c:pt idx="2">
                  <c:v>87.086707420035495</c:v>
                </c:pt>
                <c:pt idx="3">
                  <c:v>158.48685463308141</c:v>
                </c:pt>
                <c:pt idx="4">
                  <c:v>77.556820717919322</c:v>
                </c:pt>
                <c:pt idx="5">
                  <c:v>99.710101239635961</c:v>
                </c:pt>
                <c:pt idx="6">
                  <c:v>79.168077963142224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8227-433D-B4B0-BD96BC9FE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1839568"/>
        <c:axId val="207010496"/>
      </c:lineChart>
      <c:catAx>
        <c:axId val="58183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7010496"/>
        <c:crosses val="autoZero"/>
        <c:auto val="1"/>
        <c:lblAlgn val="ctr"/>
        <c:lblOffset val="100"/>
        <c:noMultiLvlLbl val="0"/>
      </c:catAx>
      <c:valAx>
        <c:axId val="20701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endParaRPr lang="en-US"/>
          </a:p>
        </c:txPr>
        <c:crossAx val="581839568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Nova" panose="020B05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r>
              <a:rPr lang="en-IE"/>
              <a:t>Comparaison véhicule diesel/véhicule électrique, 1 km, Allemagne, 2020</a:t>
            </a:r>
            <a:r>
              <a:rPr lang="en-IE" baseline="0"/>
              <a:t> pour trois indicateurs</a:t>
            </a:r>
            <a:endParaRPr lang="en-IE"/>
          </a:p>
        </c:rich>
      </c:tx>
      <c:layout>
        <c:manualLayout>
          <c:xMode val="edge"/>
          <c:yMode val="edge"/>
          <c:x val="7.6611102629670608E-2"/>
          <c:y val="2.019473876700783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'Analyse d''impacts'!$A$6</c:f>
              <c:strCache>
                <c:ptCount val="1"/>
                <c:pt idx="0">
                  <c:v>transport, voiture diesel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d''impacts'!$C$6:$H$6</c:f>
              <c:numCache>
                <c:formatCode>0</c:formatCode>
                <c:ptCount val="6"/>
                <c:pt idx="0">
                  <c:v>187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F6-4B35-9066-D157B5FFD585}"/>
            </c:ext>
          </c:extLst>
        </c:ser>
        <c:ser>
          <c:idx val="1"/>
          <c:order val="1"/>
          <c:tx>
            <c:strRef>
              <c:f>'Analyse d''impacts'!$A$7</c:f>
              <c:strCache>
                <c:ptCount val="1"/>
                <c:pt idx="0">
                  <c:v>transport, voiture électrique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d''impacts'!$C$7:$H$7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F6-4B35-9066-D157B5FFD585}"/>
            </c:ext>
          </c:extLst>
        </c:ser>
        <c:ser>
          <c:idx val="2"/>
          <c:order val="2"/>
          <c:tx>
            <c:strRef>
              <c:f>'Analyse d''impacts'!$A$8</c:f>
              <c:strCache>
                <c:ptCount val="1"/>
                <c:pt idx="0">
                  <c:v>voiture diesel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d''impacts'!$C$8:$H$8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F6-4B35-9066-D157B5FFD585}"/>
            </c:ext>
          </c:extLst>
        </c:ser>
        <c:ser>
          <c:idx val="3"/>
          <c:order val="3"/>
          <c:tx>
            <c:strRef>
              <c:f>'Analyse d''impacts'!$A$9</c:f>
              <c:strCache>
                <c:ptCount val="1"/>
                <c:pt idx="0">
                  <c:v>voiture électrique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d''impacts'!$C$9:$H$9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F6-4B35-9066-D157B5FFD585}"/>
            </c:ext>
          </c:extLst>
        </c:ser>
        <c:ser>
          <c:idx val="4"/>
          <c:order val="4"/>
          <c:tx>
            <c:strRef>
              <c:f>'Analyse d''impacts'!$A$10</c:f>
              <c:strCache>
                <c:ptCount val="1"/>
                <c:pt idx="0">
                  <c:v>batterie lithium-ion, production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d''impacts'!$C$10:$H$10</c:f>
              <c:numCache>
                <c:formatCode>0</c:formatCode>
                <c:ptCount val="6"/>
                <c:pt idx="0">
                  <c:v>0</c:v>
                </c:pt>
                <c:pt idx="1">
                  <c:v>17.2896</c:v>
                </c:pt>
                <c:pt idx="2">
                  <c:v>0</c:v>
                </c:pt>
                <c:pt idx="3">
                  <c:v>33.436799999999998</c:v>
                </c:pt>
                <c:pt idx="4">
                  <c:v>0</c:v>
                </c:pt>
                <c:pt idx="5">
                  <c:v>22.08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F6-4B35-9066-D157B5FFD585}"/>
            </c:ext>
          </c:extLst>
        </c:ser>
        <c:ser>
          <c:idx val="5"/>
          <c:order val="5"/>
          <c:tx>
            <c:strRef>
              <c:f>'Analyse d''impacts'!$A$11</c:f>
              <c:strCache>
                <c:ptCount val="1"/>
                <c:pt idx="0">
                  <c:v>batterie lithium-ion, recyclage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d''impacts'!$C$11:$H$11</c:f>
              <c:numCache>
                <c:formatCode>0</c:formatCode>
                <c:ptCount val="6"/>
                <c:pt idx="0">
                  <c:v>0</c:v>
                </c:pt>
                <c:pt idx="1">
                  <c:v>-1.7472000000000001</c:v>
                </c:pt>
                <c:pt idx="2">
                  <c:v>0</c:v>
                </c:pt>
                <c:pt idx="3">
                  <c:v>-5.3568000000000007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8F6-4B35-9066-D157B5FFD585}"/>
            </c:ext>
          </c:extLst>
        </c:ser>
        <c:ser>
          <c:idx val="6"/>
          <c:order val="6"/>
          <c:tx>
            <c:strRef>
              <c:f>'Analyse d''impacts'!$A$12</c:f>
              <c:strCache>
                <c:ptCount val="1"/>
                <c:pt idx="0">
                  <c:v>gazole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d''impacts'!$C$12:$H$12</c:f>
              <c:numCache>
                <c:formatCode>0</c:formatCode>
                <c:ptCount val="6"/>
                <c:pt idx="0">
                  <c:v>41.3</c:v>
                </c:pt>
                <c:pt idx="1">
                  <c:v>0</c:v>
                </c:pt>
                <c:pt idx="2">
                  <c:v>346.92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8F6-4B35-9066-D157B5FFD585}"/>
            </c:ext>
          </c:extLst>
        </c:ser>
        <c:ser>
          <c:idx val="7"/>
          <c:order val="7"/>
          <c:tx>
            <c:strRef>
              <c:f>'Analyse d''impacts'!$A$13</c:f>
              <c:strCache>
                <c:ptCount val="1"/>
                <c:pt idx="0">
                  <c:v>maintenance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d''impacts'!$C$13:$H$13</c:f>
              <c:numCache>
                <c:formatCode>0</c:formatCode>
                <c:ptCount val="6"/>
                <c:pt idx="0">
                  <c:v>0.6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8F6-4B35-9066-D157B5FFD585}"/>
            </c:ext>
          </c:extLst>
        </c:ser>
        <c:ser>
          <c:idx val="8"/>
          <c:order val="8"/>
          <c:tx>
            <c:strRef>
              <c:f>'Analyse d''impacts'!$A$14</c:f>
              <c:strCache>
                <c:ptCount val="1"/>
                <c:pt idx="0">
                  <c:v>acier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d''impacts'!$C$14:$H$14</c:f>
              <c:numCache>
                <c:formatCode>0</c:formatCode>
                <c:ptCount val="6"/>
                <c:pt idx="0">
                  <c:v>8.2972239999999786</c:v>
                </c:pt>
                <c:pt idx="1">
                  <c:v>7.1096479999999724</c:v>
                </c:pt>
                <c:pt idx="2">
                  <c:v>10.762876799999971</c:v>
                </c:pt>
                <c:pt idx="3">
                  <c:v>9.2223935999999647</c:v>
                </c:pt>
                <c:pt idx="4">
                  <c:v>0.1760220799999995</c:v>
                </c:pt>
                <c:pt idx="5">
                  <c:v>0.15082815999999941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8F6-4B35-9066-D157B5FFD585}"/>
            </c:ext>
          </c:extLst>
        </c:ser>
        <c:ser>
          <c:idx val="9"/>
          <c:order val="9"/>
          <c:tx>
            <c:strRef>
              <c:f>'Analyse d''impacts'!$A$15</c:f>
              <c:strCache>
                <c:ptCount val="1"/>
                <c:pt idx="0">
                  <c:v>fonte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d''impacts'!$C$15:$H$15</c:f>
              <c:numCache>
                <c:formatCode>0</c:formatCode>
                <c:ptCount val="6"/>
                <c:pt idx="0">
                  <c:v>0.57527999999999913</c:v>
                </c:pt>
                <c:pt idx="1">
                  <c:v>0.31103999999999737</c:v>
                </c:pt>
                <c:pt idx="2">
                  <c:v>0.80539199999999866</c:v>
                </c:pt>
                <c:pt idx="3">
                  <c:v>0.4354559999999964</c:v>
                </c:pt>
                <c:pt idx="4">
                  <c:v>6.9672799999999889E-4</c:v>
                </c:pt>
                <c:pt idx="5">
                  <c:v>3.7670399999999691E-4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8F6-4B35-9066-D157B5FFD585}"/>
            </c:ext>
          </c:extLst>
        </c:ser>
        <c:ser>
          <c:idx val="10"/>
          <c:order val="10"/>
          <c:tx>
            <c:strRef>
              <c:f>'Analyse d''impacts'!$A$16</c:f>
              <c:strCache>
                <c:ptCount val="1"/>
                <c:pt idx="0">
                  <c:v>aluminium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d''impacts'!$C$16:$H$16</c:f>
              <c:numCache>
                <c:formatCode>0</c:formatCode>
                <c:ptCount val="6"/>
                <c:pt idx="0">
                  <c:v>9.7508599999999586</c:v>
                </c:pt>
                <c:pt idx="1">
                  <c:v>12.70551999999998</c:v>
                </c:pt>
                <c:pt idx="2">
                  <c:v>15.49779839999993</c:v>
                </c:pt>
                <c:pt idx="3">
                  <c:v>20.193868799999969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8F6-4B35-9066-D157B5FFD585}"/>
            </c:ext>
          </c:extLst>
        </c:ser>
        <c:ser>
          <c:idx val="11"/>
          <c:order val="11"/>
          <c:tx>
            <c:strRef>
              <c:f>'Analyse d''impacts'!$A$17</c:f>
              <c:strCache>
                <c:ptCount val="1"/>
                <c:pt idx="0">
                  <c:v>verre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d''impacts'!$C$17:$H$17</c:f>
              <c:numCache>
                <c:formatCode>0</c:formatCode>
                <c:ptCount val="6"/>
                <c:pt idx="0">
                  <c:v>0.16904799999999939</c:v>
                </c:pt>
                <c:pt idx="1">
                  <c:v>0.1735679999999995</c:v>
                </c:pt>
                <c:pt idx="2">
                  <c:v>0.17772479999999941</c:v>
                </c:pt>
                <c:pt idx="3">
                  <c:v>0.18247679999999949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8F6-4B35-9066-D157B5FFD585}"/>
            </c:ext>
          </c:extLst>
        </c:ser>
        <c:ser>
          <c:idx val="12"/>
          <c:order val="12"/>
          <c:tx>
            <c:strRef>
              <c:f>'Analyse d''impacts'!$A$18</c:f>
              <c:strCache>
                <c:ptCount val="1"/>
                <c:pt idx="0">
                  <c:v>peinture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d''impacts'!$C$18:$H$18</c:f>
              <c:numCache>
                <c:formatCode>0</c:formatCode>
                <c:ptCount val="6"/>
                <c:pt idx="0">
                  <c:v>0.15449599999999961</c:v>
                </c:pt>
                <c:pt idx="1">
                  <c:v>0.14540799999999959</c:v>
                </c:pt>
                <c:pt idx="2">
                  <c:v>0.2741759999999992</c:v>
                </c:pt>
                <c:pt idx="3">
                  <c:v>0.25804799999999922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8F6-4B35-9066-D157B5FFD585}"/>
            </c:ext>
          </c:extLst>
        </c:ser>
        <c:ser>
          <c:idx val="13"/>
          <c:order val="13"/>
          <c:tx>
            <c:strRef>
              <c:f>'Analyse d''impacts'!$A$19</c:f>
              <c:strCache>
                <c:ptCount val="1"/>
                <c:pt idx="0">
                  <c:v>plastiques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d''impacts'!$C$19:$H$19</c:f>
              <c:numCache>
                <c:formatCode>0</c:formatCode>
                <c:ptCount val="6"/>
                <c:pt idx="0">
                  <c:v>2.7002799999999918</c:v>
                </c:pt>
                <c:pt idx="1">
                  <c:v>2.7667039999999932</c:v>
                </c:pt>
                <c:pt idx="2">
                  <c:v>2.315807999999993</c:v>
                </c:pt>
                <c:pt idx="3">
                  <c:v>2.3727743999999942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8F6-4B35-9066-D157B5FFD585}"/>
            </c:ext>
          </c:extLst>
        </c:ser>
        <c:ser>
          <c:idx val="14"/>
          <c:order val="14"/>
          <c:tx>
            <c:strRef>
              <c:f>'Analyse d''impacts'!$A$20</c:f>
              <c:strCache>
                <c:ptCount val="1"/>
                <c:pt idx="0">
                  <c:v>gomme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d''impacts'!$C$20:$H$20</c:f>
              <c:numCache>
                <c:formatCode>0</c:formatCode>
                <c:ptCount val="6"/>
                <c:pt idx="0">
                  <c:v>0.83027999999999735</c:v>
                </c:pt>
                <c:pt idx="1">
                  <c:v>0.84479999999999755</c:v>
                </c:pt>
                <c:pt idx="2">
                  <c:v>0.89670239999999724</c:v>
                </c:pt>
                <c:pt idx="3">
                  <c:v>0.91238399999999753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8F6-4B35-9066-D157B5FFD585}"/>
            </c:ext>
          </c:extLst>
        </c:ser>
        <c:ser>
          <c:idx val="15"/>
          <c:order val="15"/>
          <c:tx>
            <c:strRef>
              <c:f>'Analyse d''impacts'!$A$21</c:f>
              <c:strCache>
                <c:ptCount val="1"/>
                <c:pt idx="0">
                  <c:v>lubrifiant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d''impacts'!$C$21:$H$21</c:f>
              <c:numCache>
                <c:formatCode>0</c:formatCode>
                <c:ptCount val="6"/>
                <c:pt idx="0">
                  <c:v>0.25703999999999971</c:v>
                </c:pt>
                <c:pt idx="1">
                  <c:v>0.10751999999999901</c:v>
                </c:pt>
                <c:pt idx="2">
                  <c:v>0.29302559999999972</c:v>
                </c:pt>
                <c:pt idx="3">
                  <c:v>0.1225727999999988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8F6-4B35-9066-D157B5FFD585}"/>
            </c:ext>
          </c:extLst>
        </c:ser>
        <c:ser>
          <c:idx val="16"/>
          <c:order val="16"/>
          <c:tx>
            <c:strRef>
              <c:f>'Analyse d''impacts'!$A$22</c:f>
              <c:strCache>
                <c:ptCount val="1"/>
                <c:pt idx="0">
                  <c:v>cuivre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d''impacts'!$C$22:$H$22</c:f>
              <c:numCache>
                <c:formatCode>0</c:formatCode>
                <c:ptCount val="6"/>
                <c:pt idx="0">
                  <c:v>0.56460399999999733</c:v>
                </c:pt>
                <c:pt idx="1">
                  <c:v>1.288047999999999</c:v>
                </c:pt>
                <c:pt idx="2">
                  <c:v>0.67001759999999688</c:v>
                </c:pt>
                <c:pt idx="3">
                  <c:v>1.5285311999999991</c:v>
                </c:pt>
                <c:pt idx="4">
                  <c:v>214.26799999999901</c:v>
                </c:pt>
                <c:pt idx="5">
                  <c:v>488.81599999999958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8F6-4B35-9066-D157B5FFD585}"/>
            </c:ext>
          </c:extLst>
        </c:ser>
        <c:ser>
          <c:idx val="17"/>
          <c:order val="17"/>
          <c:tx>
            <c:strRef>
              <c:f>'Analyse d''impacts'!$A$23</c:f>
              <c:strCache>
                <c:ptCount val="1"/>
                <c:pt idx="0">
                  <c:v>métaux non ferreux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d''impacts'!$C$23:$H$23</c:f>
              <c:numCache>
                <c:formatCode>0</c:formatCode>
                <c:ptCount val="6"/>
                <c:pt idx="0">
                  <c:v>0.2086239999999972</c:v>
                </c:pt>
                <c:pt idx="1">
                  <c:v>0.78540800000000111</c:v>
                </c:pt>
                <c:pt idx="2">
                  <c:v>0.29669759999999612</c:v>
                </c:pt>
                <c:pt idx="3">
                  <c:v>1.1169792000000021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8F6-4B35-9066-D157B5FFD585}"/>
            </c:ext>
          </c:extLst>
        </c:ser>
        <c:ser>
          <c:idx val="18"/>
          <c:order val="18"/>
          <c:tx>
            <c:strRef>
              <c:f>'Analyse d''impacts'!$A$24</c:f>
              <c:strCache>
                <c:ptCount val="1"/>
                <c:pt idx="0">
                  <c:v>électronique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d''impacts'!$C$24:$H$24</c:f>
              <c:numCache>
                <c:formatCode>0</c:formatCode>
                <c:ptCount val="6"/>
                <c:pt idx="0">
                  <c:v>11.706947999999951</c:v>
                </c:pt>
                <c:pt idx="1">
                  <c:v>13.36262399999997</c:v>
                </c:pt>
                <c:pt idx="2">
                  <c:v>15.34847039999994</c:v>
                </c:pt>
                <c:pt idx="3">
                  <c:v>17.519155199999961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8F6-4B35-9066-D157B5FFD585}"/>
            </c:ext>
          </c:extLst>
        </c:ser>
        <c:ser>
          <c:idx val="19"/>
          <c:order val="19"/>
          <c:tx>
            <c:strRef>
              <c:f>'Analyse d''impacts'!$A$25</c:f>
              <c:strCache>
                <c:ptCount val="1"/>
                <c:pt idx="0">
                  <c:v>textiles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d''impacts'!$C$25:$H$25</c:f>
              <c:numCache>
                <c:formatCode>0</c:formatCode>
                <c:ptCount val="6"/>
                <c:pt idx="0">
                  <c:v>6.1012999999999789</c:v>
                </c:pt>
                <c:pt idx="1">
                  <c:v>6.3631999999999822</c:v>
                </c:pt>
                <c:pt idx="2">
                  <c:v>6.811315199999977</c:v>
                </c:pt>
                <c:pt idx="3">
                  <c:v>7.1036927999999806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8F6-4B35-9066-D157B5FFD585}"/>
            </c:ext>
          </c:extLst>
        </c:ser>
        <c:ser>
          <c:idx val="20"/>
          <c:order val="20"/>
          <c:tx>
            <c:strRef>
              <c:f>'Analyse d''impacts'!$A$26</c:f>
              <c:strCache>
                <c:ptCount val="1"/>
                <c:pt idx="0">
                  <c:v>fibre de carbone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d''impacts'!$C$26:$H$26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8F6-4B35-9066-D157B5FFD585}"/>
            </c:ext>
          </c:extLst>
        </c:ser>
        <c:ser>
          <c:idx val="21"/>
          <c:order val="21"/>
          <c:tx>
            <c:strRef>
              <c:f>'Analyse d''impacts'!$A$27</c:f>
              <c:strCache>
                <c:ptCount val="1"/>
                <c:pt idx="0">
                  <c:v>électricité du réseau, Allemagne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d''impacts'!$C$27:$H$27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8F6-4B35-9066-D157B5FFD585}"/>
            </c:ext>
          </c:extLst>
        </c:ser>
        <c:ser>
          <c:idx val="22"/>
          <c:order val="22"/>
          <c:tx>
            <c:strRef>
              <c:f>'Analyse d''impacts'!$A$28</c:f>
              <c:strCache>
                <c:ptCount val="1"/>
                <c:pt idx="0">
                  <c:v>électricité du réseau, France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d''impacts'!$C$28:$H$28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8F6-4B35-9066-D157B5FFD585}"/>
            </c:ext>
          </c:extLst>
        </c:ser>
        <c:ser>
          <c:idx val="23"/>
          <c:order val="23"/>
          <c:tx>
            <c:strRef>
              <c:f>'Analyse d''impacts'!$A$29</c:f>
              <c:strCache>
                <c:ptCount val="1"/>
                <c:pt idx="0">
                  <c:v>électricité nucléaire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d''impacts'!$C$29:$H$29</c:f>
              <c:numCache>
                <c:formatCode>0</c:formatCode>
                <c:ptCount val="6"/>
                <c:pt idx="0">
                  <c:v>0</c:v>
                </c:pt>
                <c:pt idx="1">
                  <c:v>0.42137647304020498</c:v>
                </c:pt>
                <c:pt idx="2">
                  <c:v>0</c:v>
                </c:pt>
                <c:pt idx="3">
                  <c:v>0.56183529738694005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C8F6-4B35-9066-D157B5FFD585}"/>
            </c:ext>
          </c:extLst>
        </c:ser>
        <c:ser>
          <c:idx val="24"/>
          <c:order val="24"/>
          <c:tx>
            <c:strRef>
              <c:f>'Analyse d''impacts'!$A$30</c:f>
              <c:strCache>
                <c:ptCount val="1"/>
                <c:pt idx="0">
                  <c:v>électricité éolienne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d''impacts'!$C$30:$H$30</c:f>
              <c:numCache>
                <c:formatCode>0</c:formatCode>
                <c:ptCount val="6"/>
                <c:pt idx="0">
                  <c:v>3.4216422908927249E-2</c:v>
                </c:pt>
                <c:pt idx="1">
                  <c:v>0.99311428288306902</c:v>
                </c:pt>
                <c:pt idx="2">
                  <c:v>4.5621897211902997E-2</c:v>
                </c:pt>
                <c:pt idx="3">
                  <c:v>1.3241523771774251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8F6-4B35-9066-D157B5FFD585}"/>
            </c:ext>
          </c:extLst>
        </c:ser>
        <c:ser>
          <c:idx val="25"/>
          <c:order val="25"/>
          <c:tx>
            <c:strRef>
              <c:f>'Analyse d''impacts'!$A$31</c:f>
              <c:strCache>
                <c:ptCount val="1"/>
                <c:pt idx="0">
                  <c:v>électricité photovoltaïque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d''impacts'!$C$31:$H$31</c:f>
              <c:numCache>
                <c:formatCode>0</c:formatCode>
                <c:ptCount val="6"/>
                <c:pt idx="0">
                  <c:v>2.5791286176808179E-2</c:v>
                </c:pt>
                <c:pt idx="1">
                  <c:v>0.82418438411132766</c:v>
                </c:pt>
                <c:pt idx="2">
                  <c:v>3.9792270101361188E-2</c:v>
                </c:pt>
                <c:pt idx="3">
                  <c:v>1.2715987640574771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C8F6-4B35-9066-D157B5FFD585}"/>
            </c:ext>
          </c:extLst>
        </c:ser>
        <c:ser>
          <c:idx val="26"/>
          <c:order val="26"/>
          <c:tx>
            <c:strRef>
              <c:f>'Analyse d''impacts'!$A$32</c:f>
              <c:strCache>
                <c:ptCount val="1"/>
                <c:pt idx="0">
                  <c:v>électricité hydroélectrique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d''impacts'!$C$32:$H$32</c:f>
              <c:numCache>
                <c:formatCode>0</c:formatCode>
                <c:ptCount val="6"/>
                <c:pt idx="0">
                  <c:v>1.038371186961754E-3</c:v>
                </c:pt>
                <c:pt idx="1">
                  <c:v>0.13734517425100079</c:v>
                </c:pt>
                <c:pt idx="2">
                  <c:v>3.8938919511065759E-3</c:v>
                </c:pt>
                <c:pt idx="3">
                  <c:v>0.51504440344125313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C8F6-4B35-9066-D157B5FFD585}"/>
            </c:ext>
          </c:extLst>
        </c:ser>
        <c:ser>
          <c:idx val="27"/>
          <c:order val="27"/>
          <c:tx>
            <c:strRef>
              <c:f>'Analyse d''impacts'!$A$33</c:f>
              <c:strCache>
                <c:ptCount val="1"/>
                <c:pt idx="0">
                  <c:v>électricité au charbon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d''impacts'!$C$33:$H$33</c:f>
              <c:numCache>
                <c:formatCode>0</c:formatCode>
                <c:ptCount val="6"/>
                <c:pt idx="0">
                  <c:v>1.993448380654746E-2</c:v>
                </c:pt>
                <c:pt idx="1">
                  <c:v>1.9934483806547471E-2</c:v>
                </c:pt>
                <c:pt idx="2">
                  <c:v>2.0883744940192579E-2</c:v>
                </c:pt>
                <c:pt idx="3">
                  <c:v>2.088374494019259E-2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C8F6-4B35-9066-D157B5FFD585}"/>
            </c:ext>
          </c:extLst>
        </c:ser>
        <c:ser>
          <c:idx val="28"/>
          <c:order val="28"/>
          <c:tx>
            <c:strRef>
              <c:f>'Analyse d''impacts'!$A$34</c:f>
              <c:strCache>
                <c:ptCount val="1"/>
                <c:pt idx="0">
                  <c:v>électricité au gaz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d''impacts'!$C$34:$H$34</c:f>
              <c:numCache>
                <c:formatCode>0</c:formatCode>
                <c:ptCount val="6"/>
                <c:pt idx="0">
                  <c:v>0.1260589303981792</c:v>
                </c:pt>
                <c:pt idx="1">
                  <c:v>1.360778927297859</c:v>
                </c:pt>
                <c:pt idx="2">
                  <c:v>0.14250139958055039</c:v>
                </c:pt>
                <c:pt idx="3">
                  <c:v>1.53827183085845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C8F6-4B35-9066-D157B5FFD585}"/>
            </c:ext>
          </c:extLst>
        </c:ser>
        <c:ser>
          <c:idx val="29"/>
          <c:order val="29"/>
          <c:tx>
            <c:strRef>
              <c:f>'Analyse d''impacts'!$A$35</c:f>
              <c:strCache>
                <c:ptCount val="1"/>
                <c:pt idx="0">
                  <c:v>électricité, autre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d''impacts'!$C$35:$H$35</c:f>
              <c:numCache>
                <c:formatCode>0</c:formatCode>
                <c:ptCount val="6"/>
                <c:pt idx="0">
                  <c:v>0.5860757823344469</c:v>
                </c:pt>
                <c:pt idx="1">
                  <c:v>13.90545623775232</c:v>
                </c:pt>
                <c:pt idx="2">
                  <c:v>0.35400550610805509</c:v>
                </c:pt>
                <c:pt idx="3">
                  <c:v>8.3992688684410002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C8F6-4B35-9066-D157B5FFD585}"/>
            </c:ext>
          </c:extLst>
        </c:ser>
        <c:ser>
          <c:idx val="30"/>
          <c:order val="30"/>
          <c:tx>
            <c:strRef>
              <c:f>'Analyse d''impacts'!$A$36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d''impacts'!$C$36:$H$36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C8F6-4B35-9066-D157B5FFD585}"/>
            </c:ext>
          </c:extLst>
        </c:ser>
        <c:ser>
          <c:idx val="31"/>
          <c:order val="31"/>
          <c:tx>
            <c:strRef>
              <c:f>'Analyse d''impacts'!$A$37</c:f>
              <c:strCache>
                <c:ptCount val="1"/>
                <c:pt idx="0">
                  <c:v>chaleur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d''impacts'!$C$37:$H$37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C8F6-4B35-9066-D157B5FFD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519000912"/>
        <c:axId val="212952096"/>
      </c:barChart>
      <c:lineChart>
        <c:grouping val="stacked"/>
        <c:varyColors val="0"/>
        <c:ser>
          <c:idx val="32"/>
          <c:order val="32"/>
          <c:tx>
            <c:strRef>
              <c:f>'Analyse d''impacts'!$A$38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noFill/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'Analyse d''impacts'!$C$38:$H$38</c:f>
              <c:numCache>
                <c:formatCode>0</c:formatCode>
                <c:ptCount val="6"/>
                <c:pt idx="0">
                  <c:v>271.00909927681158</c:v>
                </c:pt>
                <c:pt idx="1">
                  <c:v>79.168077963142224</c:v>
                </c:pt>
                <c:pt idx="2">
                  <c:v>401.676703509893</c:v>
                </c:pt>
                <c:pt idx="3">
                  <c:v>102.67938808630259</c:v>
                </c:pt>
                <c:pt idx="4">
                  <c:v>214.44471880799901</c:v>
                </c:pt>
                <c:pt idx="5">
                  <c:v>511.04720486399958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8F6-4B35-9066-D157B5FFD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9000912"/>
        <c:axId val="212952096"/>
      </c:lineChart>
      <c:catAx>
        <c:axId val="51900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1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endParaRPr lang="en-US"/>
          </a:p>
        </c:txPr>
        <c:crossAx val="212952096"/>
        <c:crosses val="autoZero"/>
        <c:auto val="1"/>
        <c:lblAlgn val="ctr"/>
        <c:lblOffset val="100"/>
        <c:noMultiLvlLbl val="0"/>
      </c:catAx>
      <c:valAx>
        <c:axId val="21295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endParaRPr lang="en-US"/>
          </a:p>
        </c:txPr>
        <c:crossAx val="519000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955263031279857"/>
          <c:y val="2.704366499642091E-2"/>
          <c:w val="0.17416062364031909"/>
          <c:h val="0.79050953287078018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Nova" panose="020B05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r>
              <a:rPr lang="en-IE"/>
              <a:t>Comparaison véhicule diesel/véhicule électrique, pour trois indicateurs</a:t>
            </a:r>
          </a:p>
        </c:rich>
      </c:tx>
      <c:layout>
        <c:manualLayout>
          <c:xMode val="edge"/>
          <c:yMode val="edge"/>
          <c:x val="7.6611102629670608E-2"/>
          <c:y val="2.019473876700783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'Analyse d''impacts'!$A$6</c:f>
              <c:strCache>
                <c:ptCount val="1"/>
                <c:pt idx="0">
                  <c:v>transport, voiture diesel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d''impacts'!$I$6:$N$6</c:f>
              <c:numCache>
                <c:formatCode>0%</c:formatCode>
                <c:ptCount val="6"/>
                <c:pt idx="0">
                  <c:v>0.69001373200755955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F0-45EC-9256-701CE76AFE53}"/>
            </c:ext>
          </c:extLst>
        </c:ser>
        <c:ser>
          <c:idx val="1"/>
          <c:order val="1"/>
          <c:tx>
            <c:strRef>
              <c:f>'Analyse d''impacts'!$A$7</c:f>
              <c:strCache>
                <c:ptCount val="1"/>
                <c:pt idx="0">
                  <c:v>transport, voiture électrique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d''impacts'!$I$7:$N$7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F0-45EC-9256-701CE76AFE53}"/>
            </c:ext>
          </c:extLst>
        </c:ser>
        <c:ser>
          <c:idx val="2"/>
          <c:order val="2"/>
          <c:tx>
            <c:strRef>
              <c:f>'Analyse d''impacts'!$A$8</c:f>
              <c:strCache>
                <c:ptCount val="1"/>
                <c:pt idx="0">
                  <c:v>voiture diesel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d''impacts'!$I$8:$N$8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F0-45EC-9256-701CE76AFE53}"/>
            </c:ext>
          </c:extLst>
        </c:ser>
        <c:ser>
          <c:idx val="3"/>
          <c:order val="3"/>
          <c:tx>
            <c:strRef>
              <c:f>'Analyse d''impacts'!$A$9</c:f>
              <c:strCache>
                <c:ptCount val="1"/>
                <c:pt idx="0">
                  <c:v>voiture électrique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d''impacts'!$I$9:$N$9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F0-45EC-9256-701CE76AFE53}"/>
            </c:ext>
          </c:extLst>
        </c:ser>
        <c:ser>
          <c:idx val="4"/>
          <c:order val="4"/>
          <c:tx>
            <c:strRef>
              <c:f>'Analyse d''impacts'!$A$10</c:f>
              <c:strCache>
                <c:ptCount val="1"/>
                <c:pt idx="0">
                  <c:v>batterie lithium-ion, production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d''impacts'!$I$10:$N$10</c:f>
              <c:numCache>
                <c:formatCode>0%</c:formatCode>
                <c:ptCount val="6"/>
                <c:pt idx="0">
                  <c:v>0</c:v>
                </c:pt>
                <c:pt idx="1">
                  <c:v>6.3797119897956708E-2</c:v>
                </c:pt>
                <c:pt idx="2">
                  <c:v>0</c:v>
                </c:pt>
                <c:pt idx="3">
                  <c:v>8.3243065151216752E-2</c:v>
                </c:pt>
                <c:pt idx="4">
                  <c:v>0</c:v>
                </c:pt>
                <c:pt idx="5">
                  <c:v>4.3205402142598451E-2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F0-45EC-9256-701CE76AFE53}"/>
            </c:ext>
          </c:extLst>
        </c:ser>
        <c:ser>
          <c:idx val="5"/>
          <c:order val="5"/>
          <c:tx>
            <c:strRef>
              <c:f>'Analyse d''impacts'!$A$11</c:f>
              <c:strCache>
                <c:ptCount val="1"/>
                <c:pt idx="0">
                  <c:v>batterie lithium-ion, recyclage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d''impacts'!$I$11:$N$11</c:f>
              <c:numCache>
                <c:formatCode>0%</c:formatCode>
                <c:ptCount val="6"/>
                <c:pt idx="0">
                  <c:v>0</c:v>
                </c:pt>
                <c:pt idx="1">
                  <c:v>-6.4470160030139466E-3</c:v>
                </c:pt>
                <c:pt idx="2">
                  <c:v>0</c:v>
                </c:pt>
                <c:pt idx="3">
                  <c:v>-1.3336098292959789E-2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EF0-45EC-9256-701CE76AFE53}"/>
            </c:ext>
          </c:extLst>
        </c:ser>
        <c:ser>
          <c:idx val="6"/>
          <c:order val="6"/>
          <c:tx>
            <c:strRef>
              <c:f>'Analyse d''impacts'!$A$12</c:f>
              <c:strCache>
                <c:ptCount val="1"/>
                <c:pt idx="0">
                  <c:v>gazole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d''impacts'!$I$12:$N$12</c:f>
              <c:numCache>
                <c:formatCode>0%</c:formatCode>
                <c:ptCount val="6"/>
                <c:pt idx="0">
                  <c:v>0.15239340712252519</c:v>
                </c:pt>
                <c:pt idx="1">
                  <c:v>0</c:v>
                </c:pt>
                <c:pt idx="2">
                  <c:v>0.86367966319325162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F0-45EC-9256-701CE76AFE53}"/>
            </c:ext>
          </c:extLst>
        </c:ser>
        <c:ser>
          <c:idx val="7"/>
          <c:order val="7"/>
          <c:tx>
            <c:strRef>
              <c:f>'Analyse d''impacts'!$A$13</c:f>
              <c:strCache>
                <c:ptCount val="1"/>
                <c:pt idx="0">
                  <c:v>maintenance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d''impacts'!$I$13:$N$13</c:f>
              <c:numCache>
                <c:formatCode>0%</c:formatCode>
                <c:ptCount val="6"/>
                <c:pt idx="0">
                  <c:v>2.213947803232811E-3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EF0-45EC-9256-701CE76AFE53}"/>
            </c:ext>
          </c:extLst>
        </c:ser>
        <c:ser>
          <c:idx val="8"/>
          <c:order val="8"/>
          <c:tx>
            <c:strRef>
              <c:f>'Analyse d''impacts'!$A$14</c:f>
              <c:strCache>
                <c:ptCount val="1"/>
                <c:pt idx="0">
                  <c:v>acier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d''impacts'!$I$14:$N$14</c:f>
              <c:numCache>
                <c:formatCode>0%</c:formatCode>
                <c:ptCount val="6"/>
                <c:pt idx="0">
                  <c:v>3.0616034746217519E-2</c:v>
                </c:pt>
                <c:pt idx="1">
                  <c:v>2.6233982618930819E-2</c:v>
                </c:pt>
                <c:pt idx="2">
                  <c:v>2.6794874350324099E-2</c:v>
                </c:pt>
                <c:pt idx="3">
                  <c:v>2.295974229875351E-2</c:v>
                </c:pt>
                <c:pt idx="4">
                  <c:v>3.4443409204604241E-4</c:v>
                </c:pt>
                <c:pt idx="5">
                  <c:v>2.9513547587084043E-4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EF0-45EC-9256-701CE76AFE53}"/>
            </c:ext>
          </c:extLst>
        </c:ser>
        <c:ser>
          <c:idx val="9"/>
          <c:order val="9"/>
          <c:tx>
            <c:strRef>
              <c:f>'Analyse d''impacts'!$A$15</c:f>
              <c:strCache>
                <c:ptCount val="1"/>
                <c:pt idx="0">
                  <c:v>fonte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d''impacts'!$I$15:$N$15</c:f>
              <c:numCache>
                <c:formatCode>0%</c:formatCode>
                <c:ptCount val="6"/>
                <c:pt idx="0">
                  <c:v>2.122733153739616E-3</c:v>
                </c:pt>
                <c:pt idx="1">
                  <c:v>1.1477105411958799E-3</c:v>
                </c:pt>
                <c:pt idx="2">
                  <c:v>2.005075208401182E-3</c:v>
                </c:pt>
                <c:pt idx="3">
                  <c:v>1.084095732201884E-3</c:v>
                </c:pt>
                <c:pt idx="4">
                  <c:v>1.363333941304723E-6</c:v>
                </c:pt>
                <c:pt idx="5">
                  <c:v>7.3712173046763011E-7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EF0-45EC-9256-701CE76AFE53}"/>
            </c:ext>
          </c:extLst>
        </c:ser>
        <c:ser>
          <c:idx val="10"/>
          <c:order val="10"/>
          <c:tx>
            <c:strRef>
              <c:f>'Analyse d''impacts'!$A$16</c:f>
              <c:strCache>
                <c:ptCount val="1"/>
                <c:pt idx="0">
                  <c:v>aluminium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d''impacts'!$I$16:$N$16</c:f>
              <c:numCache>
                <c:formatCode>0%</c:formatCode>
                <c:ptCount val="6"/>
                <c:pt idx="0">
                  <c:v>3.5979825127717663E-2</c:v>
                </c:pt>
                <c:pt idx="1">
                  <c:v>4.6882263488217508E-2</c:v>
                </c:pt>
                <c:pt idx="2">
                  <c:v>3.8582766350596272E-2</c:v>
                </c:pt>
                <c:pt idx="3">
                  <c:v>5.0273935788518062E-2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EF0-45EC-9256-701CE76AFE53}"/>
            </c:ext>
          </c:extLst>
        </c:ser>
        <c:ser>
          <c:idx val="11"/>
          <c:order val="11"/>
          <c:tx>
            <c:strRef>
              <c:f>'Analyse d''impacts'!$A$17</c:f>
              <c:strCache>
                <c:ptCount val="1"/>
                <c:pt idx="0">
                  <c:v>verre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d''impacts'!$I$17:$N$17</c:f>
              <c:numCache>
                <c:formatCode>0%</c:formatCode>
                <c:ptCount val="6"/>
                <c:pt idx="0">
                  <c:v>6.2377241373483174E-4</c:v>
                </c:pt>
                <c:pt idx="1">
                  <c:v>6.4045082051918578E-4</c:v>
                </c:pt>
                <c:pt idx="2">
                  <c:v>4.4245732562287409E-4</c:v>
                </c:pt>
                <c:pt idx="3">
                  <c:v>4.5428773539888702E-4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EF0-45EC-9256-701CE76AFE53}"/>
            </c:ext>
          </c:extLst>
        </c:ser>
        <c:ser>
          <c:idx val="12"/>
          <c:order val="12"/>
          <c:tx>
            <c:strRef>
              <c:f>'Analyse d''impacts'!$A$18</c:f>
              <c:strCache>
                <c:ptCount val="1"/>
                <c:pt idx="0">
                  <c:v>peinture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d''impacts'!$I$18:$N$18</c:f>
              <c:numCache>
                <c:formatCode>0%</c:formatCode>
                <c:ptCount val="6"/>
                <c:pt idx="0">
                  <c:v>5.700767996804257E-4</c:v>
                </c:pt>
                <c:pt idx="1">
                  <c:v>5.3654287028745949E-4</c:v>
                </c:pt>
                <c:pt idx="2">
                  <c:v>6.8257879434933781E-4</c:v>
                </c:pt>
                <c:pt idx="3">
                  <c:v>6.4242710056408255E-4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EF0-45EC-9256-701CE76AFE53}"/>
            </c:ext>
          </c:extLst>
        </c:ser>
        <c:ser>
          <c:idx val="13"/>
          <c:order val="13"/>
          <c:tx>
            <c:strRef>
              <c:f>'Analyse d''impacts'!$A$19</c:f>
              <c:strCache>
                <c:ptCount val="1"/>
                <c:pt idx="0">
                  <c:v>plastiques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d''impacts'!$I$19:$N$19</c:f>
              <c:numCache>
                <c:formatCode>0%</c:formatCode>
                <c:ptCount val="6"/>
                <c:pt idx="0">
                  <c:v>9.9637982901891291E-3</c:v>
                </c:pt>
                <c:pt idx="1">
                  <c:v>1.0208897071659029E-2</c:v>
                </c:pt>
                <c:pt idx="2">
                  <c:v>5.7653530308435126E-3</c:v>
                </c:pt>
                <c:pt idx="3">
                  <c:v>5.9071745492492922E-3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EF0-45EC-9256-701CE76AFE53}"/>
            </c:ext>
          </c:extLst>
        </c:ser>
        <c:ser>
          <c:idx val="14"/>
          <c:order val="14"/>
          <c:tx>
            <c:strRef>
              <c:f>'Analyse d''impacts'!$A$20</c:f>
              <c:strCache>
                <c:ptCount val="1"/>
                <c:pt idx="0">
                  <c:v>gomme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d''impacts'!$I$20:$N$20</c:f>
              <c:numCache>
                <c:formatCode>0%</c:formatCode>
                <c:ptCount val="6"/>
                <c:pt idx="0">
                  <c:v>3.0636609701135539E-3</c:v>
                </c:pt>
                <c:pt idx="1">
                  <c:v>3.1172385069517892E-3</c:v>
                </c:pt>
                <c:pt idx="2">
                  <c:v>2.2323983247335929E-3</c:v>
                </c:pt>
                <c:pt idx="3">
                  <c:v>2.271438676994436E-3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EF0-45EC-9256-701CE76AFE53}"/>
            </c:ext>
          </c:extLst>
        </c:ser>
        <c:ser>
          <c:idx val="15"/>
          <c:order val="15"/>
          <c:tx>
            <c:strRef>
              <c:f>'Analyse d''impacts'!$A$21</c:f>
              <c:strCache>
                <c:ptCount val="1"/>
                <c:pt idx="0">
                  <c:v>lubrifiant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d''impacts'!$I$21:$N$21</c:f>
              <c:numCache>
                <c:formatCode>0%</c:formatCode>
                <c:ptCount val="6"/>
                <c:pt idx="0">
                  <c:v>9.4845523890493529E-4</c:v>
                </c:pt>
                <c:pt idx="1">
                  <c:v>3.96739446339316E-4</c:v>
                </c:pt>
                <c:pt idx="2">
                  <c:v>7.2950608646085626E-4</c:v>
                </c:pt>
                <c:pt idx="3">
                  <c:v>3.0515287276793729E-4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EF0-45EC-9256-701CE76AFE53}"/>
            </c:ext>
          </c:extLst>
        </c:ser>
        <c:ser>
          <c:idx val="16"/>
          <c:order val="16"/>
          <c:tx>
            <c:strRef>
              <c:f>'Analyse d''impacts'!$A$22</c:f>
              <c:strCache>
                <c:ptCount val="1"/>
                <c:pt idx="0">
                  <c:v>cuivre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d''impacts'!$I$22:$N$22</c:f>
              <c:numCache>
                <c:formatCode>0%</c:formatCode>
                <c:ptCount val="6"/>
                <c:pt idx="0">
                  <c:v>2.083339642494087E-3</c:v>
                </c:pt>
                <c:pt idx="1">
                  <c:v>4.752785066764023E-3</c:v>
                </c:pt>
                <c:pt idx="2">
                  <c:v>1.668051928691191E-3</c:v>
                </c:pt>
                <c:pt idx="3">
                  <c:v>3.8053767784975668E-3</c:v>
                </c:pt>
                <c:pt idx="4">
                  <c:v>0.41927242329213049</c:v>
                </c:pt>
                <c:pt idx="5">
                  <c:v>0.95649872525980018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EF0-45EC-9256-701CE76AFE53}"/>
            </c:ext>
          </c:extLst>
        </c:ser>
        <c:ser>
          <c:idx val="17"/>
          <c:order val="17"/>
          <c:tx>
            <c:strRef>
              <c:f>'Analyse d''impacts'!$A$23</c:f>
              <c:strCache>
                <c:ptCount val="1"/>
                <c:pt idx="0">
                  <c:v>métaux non ferreux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d''impacts'!$I$23:$N$23</c:f>
              <c:numCache>
                <c:formatCode>0%</c:formatCode>
                <c:ptCount val="6"/>
                <c:pt idx="0">
                  <c:v>7.6980441083605985E-4</c:v>
                </c:pt>
                <c:pt idx="1">
                  <c:v>2.8980871937357971E-3</c:v>
                </c:pt>
                <c:pt idx="2">
                  <c:v>7.3864776674231161E-4</c:v>
                </c:pt>
                <c:pt idx="3">
                  <c:v>2.7807915924416842E-3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EF0-45EC-9256-701CE76AFE53}"/>
            </c:ext>
          </c:extLst>
        </c:ser>
        <c:ser>
          <c:idx val="18"/>
          <c:order val="18"/>
          <c:tx>
            <c:strRef>
              <c:f>'Analyse d''impacts'!$A$24</c:f>
              <c:strCache>
                <c:ptCount val="1"/>
                <c:pt idx="0">
                  <c:v>électronique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d''impacts'!$I$24:$N$24</c:f>
              <c:numCache>
                <c:formatCode>0%</c:formatCode>
                <c:ptCount val="6"/>
                <c:pt idx="0">
                  <c:v>4.3197619678601078E-2</c:v>
                </c:pt>
                <c:pt idx="1">
                  <c:v>4.9306920083709953E-2</c:v>
                </c:pt>
                <c:pt idx="2">
                  <c:v>3.8211004685816737E-2</c:v>
                </c:pt>
                <c:pt idx="3">
                  <c:v>4.3615064172046199E-2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EF0-45EC-9256-701CE76AFE53}"/>
            </c:ext>
          </c:extLst>
        </c:ser>
        <c:ser>
          <c:idx val="19"/>
          <c:order val="19"/>
          <c:tx>
            <c:strRef>
              <c:f>'Analyse d''impacts'!$A$25</c:f>
              <c:strCache>
                <c:ptCount val="1"/>
                <c:pt idx="0">
                  <c:v>textiles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d''impacts'!$I$25:$N$25</c:f>
              <c:numCache>
                <c:formatCode>0%</c:formatCode>
                <c:ptCount val="6"/>
                <c:pt idx="0">
                  <c:v>2.2513266219773839E-2</c:v>
                </c:pt>
                <c:pt idx="1">
                  <c:v>2.347965443588498E-2</c:v>
                </c:pt>
                <c:pt idx="2">
                  <c:v>1.6957207476764252E-2</c:v>
                </c:pt>
                <c:pt idx="3">
                  <c:v>1.7685100325528391E-2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EF0-45EC-9256-701CE76AFE53}"/>
            </c:ext>
          </c:extLst>
        </c:ser>
        <c:ser>
          <c:idx val="20"/>
          <c:order val="20"/>
          <c:tx>
            <c:strRef>
              <c:f>'Analyse d''impacts'!$A$26</c:f>
              <c:strCache>
                <c:ptCount val="1"/>
                <c:pt idx="0">
                  <c:v>fibre de carbone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d''impacts'!$I$26:$N$26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EF0-45EC-9256-701CE76AFE53}"/>
            </c:ext>
          </c:extLst>
        </c:ser>
        <c:ser>
          <c:idx val="21"/>
          <c:order val="21"/>
          <c:tx>
            <c:strRef>
              <c:f>'Analyse d''impacts'!$A$27</c:f>
              <c:strCache>
                <c:ptCount val="1"/>
                <c:pt idx="0">
                  <c:v>électricité du réseau, Allemagne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d''impacts'!$I$27:$N$27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EF0-45EC-9256-701CE76AFE53}"/>
            </c:ext>
          </c:extLst>
        </c:ser>
        <c:ser>
          <c:idx val="22"/>
          <c:order val="22"/>
          <c:tx>
            <c:strRef>
              <c:f>'Analyse d''impacts'!$A$28</c:f>
              <c:strCache>
                <c:ptCount val="1"/>
                <c:pt idx="0">
                  <c:v>électricité du réseau, France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d''impacts'!$I$28:$N$28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EF0-45EC-9256-701CE76AFE53}"/>
            </c:ext>
          </c:extLst>
        </c:ser>
        <c:ser>
          <c:idx val="23"/>
          <c:order val="23"/>
          <c:tx>
            <c:strRef>
              <c:f>'Analyse d''impacts'!$A$29</c:f>
              <c:strCache>
                <c:ptCount val="1"/>
                <c:pt idx="0">
                  <c:v>électricité nucléaire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d''impacts'!$I$29:$N$29</c:f>
              <c:numCache>
                <c:formatCode>0%</c:formatCode>
                <c:ptCount val="6"/>
                <c:pt idx="0">
                  <c:v>0</c:v>
                </c:pt>
                <c:pt idx="1">
                  <c:v>1.554842528035586E-3</c:v>
                </c:pt>
                <c:pt idx="2">
                  <c:v>0</c:v>
                </c:pt>
                <c:pt idx="3">
                  <c:v>1.3987251251505611E-3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CEF0-45EC-9256-701CE76AFE53}"/>
            </c:ext>
          </c:extLst>
        </c:ser>
        <c:ser>
          <c:idx val="24"/>
          <c:order val="24"/>
          <c:tx>
            <c:strRef>
              <c:f>'Analyse d''impacts'!$A$30</c:f>
              <c:strCache>
                <c:ptCount val="1"/>
                <c:pt idx="0">
                  <c:v>électricité éolienne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d''impacts'!$I$30:$N$30</c:f>
              <c:numCache>
                <c:formatCode>0%</c:formatCode>
                <c:ptCount val="6"/>
                <c:pt idx="0">
                  <c:v>1.262556238895072E-4</c:v>
                </c:pt>
                <c:pt idx="1">
                  <c:v>3.6645053082468319E-3</c:v>
                </c:pt>
                <c:pt idx="2">
                  <c:v>1.1357864873231161E-4</c:v>
                </c:pt>
                <c:pt idx="3">
                  <c:v>3.2965625479567111E-3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EF0-45EC-9256-701CE76AFE53}"/>
            </c:ext>
          </c:extLst>
        </c:ser>
        <c:ser>
          <c:idx val="25"/>
          <c:order val="25"/>
          <c:tx>
            <c:strRef>
              <c:f>'Analyse d''impacts'!$A$31</c:f>
              <c:strCache>
                <c:ptCount val="1"/>
                <c:pt idx="0">
                  <c:v>électricité photovoltaïque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d''impacts'!$I$31:$N$31</c:f>
              <c:numCache>
                <c:formatCode>0%</c:formatCode>
                <c:ptCount val="6"/>
                <c:pt idx="0">
                  <c:v>9.5167602289488742E-5</c:v>
                </c:pt>
                <c:pt idx="1">
                  <c:v>3.041168677770103E-3</c:v>
                </c:pt>
                <c:pt idx="2">
                  <c:v>9.9065416922744525E-5</c:v>
                </c:pt>
                <c:pt idx="3">
                  <c:v>3.1657269464375548E-3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CEF0-45EC-9256-701CE76AFE53}"/>
            </c:ext>
          </c:extLst>
        </c:ser>
        <c:ser>
          <c:idx val="26"/>
          <c:order val="26"/>
          <c:tx>
            <c:strRef>
              <c:f>'Analyse d''impacts'!$A$32</c:f>
              <c:strCache>
                <c:ptCount val="1"/>
                <c:pt idx="0">
                  <c:v>électricité hydroélectrique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d''impacts'!$I$32:$N$32</c:f>
              <c:numCache>
                <c:formatCode>0%</c:formatCode>
                <c:ptCount val="6"/>
                <c:pt idx="0">
                  <c:v>3.8314993471903689E-6</c:v>
                </c:pt>
                <c:pt idx="1">
                  <c:v>5.0679174469605171E-4</c:v>
                </c:pt>
                <c:pt idx="2">
                  <c:v>9.6940945717820858E-6</c:v>
                </c:pt>
                <c:pt idx="3">
                  <c:v>1.2822361838282911E-3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CEF0-45EC-9256-701CE76AFE53}"/>
            </c:ext>
          </c:extLst>
        </c:ser>
        <c:ser>
          <c:idx val="27"/>
          <c:order val="27"/>
          <c:tx>
            <c:strRef>
              <c:f>'Analyse d''impacts'!$A$33</c:f>
              <c:strCache>
                <c:ptCount val="1"/>
                <c:pt idx="0">
                  <c:v>électricité au charbon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d''impacts'!$I$33:$N$33</c:f>
              <c:numCache>
                <c:formatCode>0%</c:formatCode>
                <c:ptCount val="6"/>
                <c:pt idx="0">
                  <c:v>7.3556511053476351E-5</c:v>
                </c:pt>
                <c:pt idx="1">
                  <c:v>7.3556511053476364E-5</c:v>
                </c:pt>
                <c:pt idx="2">
                  <c:v>5.1991426830852357E-5</c:v>
                </c:pt>
                <c:pt idx="3">
                  <c:v>5.1991426830852378E-5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CEF0-45EC-9256-701CE76AFE53}"/>
            </c:ext>
          </c:extLst>
        </c:ser>
        <c:ser>
          <c:idx val="28"/>
          <c:order val="28"/>
          <c:tx>
            <c:strRef>
              <c:f>'Analyse d''impacts'!$A$34</c:f>
              <c:strCache>
                <c:ptCount val="1"/>
                <c:pt idx="0">
                  <c:v>électricité au gaz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d''impacts'!$I$34:$N$34</c:f>
              <c:numCache>
                <c:formatCode>0%</c:formatCode>
                <c:ptCount val="6"/>
                <c:pt idx="0">
                  <c:v>4.6514648672154441E-4</c:v>
                </c:pt>
                <c:pt idx="1">
                  <c:v>5.0211558612943286E-3</c:v>
                </c:pt>
                <c:pt idx="2">
                  <c:v>3.5476640376541201E-4</c:v>
                </c:pt>
                <c:pt idx="3">
                  <c:v>3.8296267057981448E-3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CEF0-45EC-9256-701CE76AFE53}"/>
            </c:ext>
          </c:extLst>
        </c:ser>
        <c:ser>
          <c:idx val="29"/>
          <c:order val="29"/>
          <c:tx>
            <c:strRef>
              <c:f>'Analyse d''impacts'!$A$35</c:f>
              <c:strCache>
                <c:ptCount val="1"/>
                <c:pt idx="0">
                  <c:v>électricité, autre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d''impacts'!$I$35:$N$35</c:f>
              <c:numCache>
                <c:formatCode>0%</c:formatCode>
                <c:ptCount val="6"/>
                <c:pt idx="0">
                  <c:v>2.1625686513788329E-3</c:v>
                </c:pt>
                <c:pt idx="1">
                  <c:v>5.1309923817536247E-2</c:v>
                </c:pt>
                <c:pt idx="2">
                  <c:v>8.8131948657892785E-4</c:v>
                </c:pt>
                <c:pt idx="3">
                  <c:v>2.0910520314091689E-2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CEF0-45EC-9256-701CE76AFE53}"/>
            </c:ext>
          </c:extLst>
        </c:ser>
        <c:ser>
          <c:idx val="30"/>
          <c:order val="30"/>
          <c:tx>
            <c:strRef>
              <c:f>'Analyse d''impacts'!$A$36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d''impacts'!$I$36:$N$36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CEF0-45EC-9256-701CE76AFE53}"/>
            </c:ext>
          </c:extLst>
        </c:ser>
        <c:ser>
          <c:idx val="31"/>
          <c:order val="31"/>
          <c:tx>
            <c:strRef>
              <c:f>'Analyse d''impacts'!$A$37</c:f>
              <c:strCache>
                <c:ptCount val="1"/>
                <c:pt idx="0">
                  <c:v>chaleur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  <a:prstDash val="solid"/>
            </a:ln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d''impacts'!$I$37:$N$37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CEF0-45EC-9256-701CE76AFE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519000912"/>
        <c:axId val="212952096"/>
      </c:barChart>
      <c:lineChart>
        <c:grouping val="stacked"/>
        <c:varyColors val="0"/>
        <c:ser>
          <c:idx val="32"/>
          <c:order val="32"/>
          <c:tx>
            <c:strRef>
              <c:f>'Analyse d''impacts'!$A$38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noFill/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d''impacts'!$I$38:$N$38</c:f>
              <c:numCache>
                <c:formatCode>0%</c:formatCode>
                <c:ptCount val="6"/>
                <c:pt idx="0">
                  <c:v>1</c:v>
                </c:pt>
                <c:pt idx="1">
                  <c:v>0.29212332048777112</c:v>
                </c:pt>
                <c:pt idx="2">
                  <c:v>1</c:v>
                </c:pt>
                <c:pt idx="3">
                  <c:v>0.25562694373131262</c:v>
                </c:pt>
                <c:pt idx="4">
                  <c:v>0.41961822071811788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EF0-45EC-9256-701CE76AFE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9000912"/>
        <c:axId val="212952096"/>
      </c:lineChart>
      <c:catAx>
        <c:axId val="51900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1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endParaRPr lang="en-US"/>
          </a:p>
        </c:txPr>
        <c:crossAx val="212952096"/>
        <c:crosses val="autoZero"/>
        <c:auto val="1"/>
        <c:lblAlgn val="ctr"/>
        <c:lblOffset val="100"/>
        <c:noMultiLvlLbl val="0"/>
      </c:catAx>
      <c:valAx>
        <c:axId val="21295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endParaRPr lang="en-US"/>
          </a:p>
        </c:txPr>
        <c:crossAx val="519000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955263031279857"/>
          <c:y val="2.704366499642091E-2"/>
          <c:w val="0.17416062364031909"/>
          <c:h val="0.79050953287078018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Nova" panose="020B05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31</xdr:col>
      <xdr:colOff>0</xdr:colOff>
      <xdr:row>24</xdr:row>
      <xdr:rowOff>7940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86382" y="145676"/>
          <a:ext cx="6163236" cy="3291263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2</xdr:row>
      <xdr:rowOff>340180</xdr:rowOff>
    </xdr:from>
    <xdr:to>
      <xdr:col>43</xdr:col>
      <xdr:colOff>244928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44</xdr:row>
      <xdr:rowOff>0</xdr:rowOff>
    </xdr:from>
    <xdr:to>
      <xdr:col>17</xdr:col>
      <xdr:colOff>279400</xdr:colOff>
      <xdr:row>70</xdr:row>
      <xdr:rowOff>140607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76</xdr:row>
      <xdr:rowOff>0</xdr:rowOff>
    </xdr:from>
    <xdr:to>
      <xdr:col>17</xdr:col>
      <xdr:colOff>279400</xdr:colOff>
      <xdr:row>102</xdr:row>
      <xdr:rowOff>140607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15</xdr:col>
      <xdr:colOff>462644</xdr:colOff>
      <xdr:row>31</xdr:row>
      <xdr:rowOff>958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82393" y="149679"/>
          <a:ext cx="5973536" cy="449131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0</xdr:colOff>
      <xdr:row>32</xdr:row>
      <xdr:rowOff>140804</xdr:rowOff>
    </xdr:from>
    <xdr:to>
      <xdr:col>15</xdr:col>
      <xdr:colOff>45129</xdr:colOff>
      <xdr:row>63</xdr:row>
      <xdr:rowOff>27214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82393" y="4930518"/>
          <a:ext cx="5556021" cy="4526446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</xdr:colOff>
      <xdr:row>2</xdr:row>
      <xdr:rowOff>0</xdr:rowOff>
    </xdr:from>
    <xdr:to>
      <xdr:col>20</xdr:col>
      <xdr:colOff>199941</xdr:colOff>
      <xdr:row>23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1" y="381000"/>
          <a:ext cx="6295940" cy="303847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13</xdr:col>
      <xdr:colOff>75276</xdr:colOff>
      <xdr:row>30</xdr:row>
      <xdr:rowOff>56452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7390476" cy="5580952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Slipstream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www.greenncap.com/wp-content/uploads/Green-NCAP-Life-Cycle-Assessment-Methodology-and-Data.pdf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www.greenncap.com/wp-content/uploads/Green-NCAP-Life-Cycle-Assessment-Methodology-and-Data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climate.ec.europa.eu/system/files/2020-09/2020_study_main_report_en.pdf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3"/>
  <sheetViews>
    <sheetView workbookViewId="0">
      <selection activeCell="D15" sqref="D15"/>
    </sheetView>
  </sheetViews>
  <sheetFormatPr defaultRowHeight="14.4" x14ac:dyDescent="0.3"/>
  <cols>
    <col min="2" max="2" width="19.44140625" bestFit="1" customWidth="1"/>
  </cols>
  <sheetData>
    <row r="2" spans="2:9" x14ac:dyDescent="0.3">
      <c r="B2" s="52" t="s">
        <v>98</v>
      </c>
      <c r="C2" s="53" t="s">
        <v>99</v>
      </c>
      <c r="D2" s="53"/>
      <c r="E2" s="53"/>
      <c r="F2" s="53"/>
      <c r="G2" s="53"/>
      <c r="H2" s="53"/>
      <c r="I2" s="53"/>
    </row>
    <row r="3" spans="2:9" x14ac:dyDescent="0.3">
      <c r="B3" s="51" t="s">
        <v>100</v>
      </c>
      <c r="C3" t="s">
        <v>101</v>
      </c>
    </row>
    <row r="4" spans="2:9" x14ac:dyDescent="0.3">
      <c r="B4" s="51" t="s">
        <v>102</v>
      </c>
      <c r="C4" t="s">
        <v>103</v>
      </c>
    </row>
    <row r="5" spans="2:9" x14ac:dyDescent="0.3">
      <c r="B5" s="51" t="s">
        <v>104</v>
      </c>
      <c r="C5" t="s">
        <v>105</v>
      </c>
    </row>
    <row r="6" spans="2:9" x14ac:dyDescent="0.3">
      <c r="B6" s="51" t="s">
        <v>106</v>
      </c>
      <c r="C6" t="s">
        <v>107</v>
      </c>
    </row>
    <row r="7" spans="2:9" x14ac:dyDescent="0.3">
      <c r="B7" s="51" t="s">
        <v>108</v>
      </c>
      <c r="C7" t="s">
        <v>109</v>
      </c>
    </row>
    <row r="8" spans="2:9" x14ac:dyDescent="0.3">
      <c r="B8" s="51" t="s">
        <v>110</v>
      </c>
      <c r="C8" t="s">
        <v>111</v>
      </c>
    </row>
    <row r="9" spans="2:9" x14ac:dyDescent="0.3">
      <c r="B9" s="51"/>
    </row>
    <row r="10" spans="2:9" x14ac:dyDescent="0.3">
      <c r="B10" s="51"/>
    </row>
    <row r="11" spans="2:9" x14ac:dyDescent="0.3">
      <c r="B11" s="51"/>
    </row>
    <row r="12" spans="2:9" x14ac:dyDescent="0.3">
      <c r="B12" s="51"/>
    </row>
    <row r="13" spans="2:9" x14ac:dyDescent="0.3">
      <c r="B13" s="5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B1:AM176"/>
  <sheetViews>
    <sheetView topLeftCell="A145" zoomScale="89" zoomScaleNormal="85" workbookViewId="0">
      <selection activeCell="F11" sqref="F11"/>
    </sheetView>
  </sheetViews>
  <sheetFormatPr defaultColWidth="9.109375" defaultRowHeight="10.199999999999999" x14ac:dyDescent="0.2"/>
  <cols>
    <col min="1" max="1" width="9.109375" style="2" customWidth="1"/>
    <col min="2" max="2" width="45.6640625" style="2" bestFit="1" customWidth="1"/>
    <col min="3" max="3" width="9.109375" style="2" customWidth="1"/>
    <col min="4" max="4" width="36.5546875" style="2" bestFit="1" customWidth="1"/>
    <col min="5" max="5" width="23.33203125" style="2" bestFit="1" customWidth="1"/>
    <col min="6" max="7" width="6.5546875" style="2" customWidth="1"/>
    <col min="8" max="8" width="6.109375" style="2" customWidth="1"/>
    <col min="9" max="12" width="6" style="2" customWidth="1"/>
    <col min="13" max="26" width="3.6640625" style="2" customWidth="1"/>
    <col min="27" max="28" width="5.6640625" style="2" customWidth="1"/>
    <col min="29" max="37" width="3.6640625" style="2" customWidth="1"/>
    <col min="38" max="38" width="9.109375" style="2" customWidth="1"/>
    <col min="39" max="16384" width="9.109375" style="2"/>
  </cols>
  <sheetData>
    <row r="1" spans="2:38" ht="12" customHeight="1" thickBot="1" x14ac:dyDescent="0.25"/>
    <row r="2" spans="2:38" x14ac:dyDescent="0.2">
      <c r="B2" s="61" t="s">
        <v>0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3"/>
    </row>
    <row r="3" spans="2:38" x14ac:dyDescent="0.2">
      <c r="B3" s="64"/>
      <c r="D3" s="3" t="s">
        <v>1</v>
      </c>
      <c r="E3" s="3" t="s">
        <v>2</v>
      </c>
      <c r="F3" s="3" t="s">
        <v>3</v>
      </c>
      <c r="AL3" s="65"/>
    </row>
    <row r="4" spans="2:38" ht="15" customHeight="1" x14ac:dyDescent="0.2">
      <c r="B4" s="66" t="s">
        <v>4</v>
      </c>
      <c r="D4" s="2" t="s">
        <v>5</v>
      </c>
      <c r="E4" s="2" t="s">
        <v>6</v>
      </c>
      <c r="F4" s="27">
        <v>250000</v>
      </c>
      <c r="AL4" s="65"/>
    </row>
    <row r="5" spans="2:38" x14ac:dyDescent="0.2">
      <c r="B5" s="64"/>
      <c r="D5" s="2" t="s">
        <v>7</v>
      </c>
      <c r="E5" s="2" t="s">
        <v>8</v>
      </c>
      <c r="F5" s="28">
        <v>15000</v>
      </c>
      <c r="AL5" s="65"/>
    </row>
    <row r="6" spans="2:38" x14ac:dyDescent="0.2">
      <c r="B6" s="64"/>
      <c r="D6" s="2" t="s">
        <v>5</v>
      </c>
      <c r="E6" s="2" t="s">
        <v>9</v>
      </c>
      <c r="F6" s="29">
        <v>16.666666666666671</v>
      </c>
      <c r="AL6" s="65"/>
    </row>
    <row r="7" spans="2:38" x14ac:dyDescent="0.2">
      <c r="B7" s="64"/>
      <c r="D7" s="2" t="s">
        <v>10</v>
      </c>
      <c r="E7" s="2" t="s">
        <v>11</v>
      </c>
      <c r="F7" s="28">
        <v>7</v>
      </c>
      <c r="AL7" s="65"/>
    </row>
    <row r="8" spans="2:38" x14ac:dyDescent="0.2">
      <c r="B8" s="64"/>
      <c r="D8" s="2" t="s">
        <v>12</v>
      </c>
      <c r="E8" s="2" t="s">
        <v>13</v>
      </c>
      <c r="F8" s="30">
        <v>18</v>
      </c>
      <c r="AL8" s="65"/>
    </row>
    <row r="9" spans="2:38" x14ac:dyDescent="0.2">
      <c r="B9" s="64"/>
      <c r="D9" s="2" t="s">
        <v>14</v>
      </c>
      <c r="E9" s="2" t="s">
        <v>15</v>
      </c>
      <c r="F9" s="31">
        <v>0.1</v>
      </c>
      <c r="AL9" s="65"/>
    </row>
    <row r="10" spans="2:38" x14ac:dyDescent="0.2">
      <c r="B10" s="64"/>
      <c r="D10" s="2" t="s">
        <v>16</v>
      </c>
      <c r="E10" s="2" t="s">
        <v>17</v>
      </c>
      <c r="F10" s="28">
        <v>1700</v>
      </c>
      <c r="AL10" s="65"/>
    </row>
    <row r="11" spans="2:38" x14ac:dyDescent="0.2">
      <c r="B11" s="64"/>
      <c r="D11" s="2" t="s">
        <v>18</v>
      </c>
      <c r="E11" s="2" t="s">
        <v>17</v>
      </c>
      <c r="F11" s="28">
        <v>1600</v>
      </c>
      <c r="AL11" s="65"/>
    </row>
    <row r="12" spans="2:38" x14ac:dyDescent="0.2">
      <c r="B12" s="64"/>
      <c r="D12" s="2" t="s">
        <v>19</v>
      </c>
      <c r="E12" s="2" t="s">
        <v>20</v>
      </c>
      <c r="F12" s="28">
        <v>60</v>
      </c>
      <c r="AL12" s="65"/>
    </row>
    <row r="13" spans="2:38" x14ac:dyDescent="0.2">
      <c r="B13" s="64"/>
      <c r="D13" s="2" t="s">
        <v>21</v>
      </c>
      <c r="E13" s="2" t="s">
        <v>22</v>
      </c>
      <c r="F13" s="32">
        <v>100</v>
      </c>
      <c r="AL13" s="65"/>
    </row>
    <row r="14" spans="2:38" x14ac:dyDescent="0.2">
      <c r="B14" s="64"/>
      <c r="AL14" s="65"/>
    </row>
    <row r="15" spans="2:38" ht="12.75" customHeight="1" x14ac:dyDescent="0.2">
      <c r="B15" s="66" t="s">
        <v>23</v>
      </c>
      <c r="D15" s="2" t="s">
        <v>24</v>
      </c>
      <c r="F15" s="27" t="s">
        <v>25</v>
      </c>
      <c r="AL15" s="65"/>
    </row>
    <row r="16" spans="2:38" x14ac:dyDescent="0.2">
      <c r="B16" s="64"/>
      <c r="D16" s="2" t="s">
        <v>26</v>
      </c>
      <c r="E16" s="2" t="s">
        <v>27</v>
      </c>
      <c r="F16" s="28">
        <v>12</v>
      </c>
      <c r="AL16" s="65"/>
    </row>
    <row r="17" spans="2:38" x14ac:dyDescent="0.2">
      <c r="B17" s="64"/>
      <c r="D17" s="2" t="s">
        <v>28</v>
      </c>
      <c r="E17" s="2" t="s">
        <v>27</v>
      </c>
      <c r="F17" s="28">
        <v>1</v>
      </c>
      <c r="AL17" s="65"/>
    </row>
    <row r="18" spans="2:38" x14ac:dyDescent="0.2">
      <c r="B18" s="64"/>
      <c r="D18" s="2" t="s">
        <v>29</v>
      </c>
      <c r="E18" s="2" t="s">
        <v>27</v>
      </c>
      <c r="F18" s="28">
        <v>16</v>
      </c>
      <c r="AL18" s="65"/>
    </row>
    <row r="19" spans="2:38" ht="12.75" customHeight="1" x14ac:dyDescent="0.2">
      <c r="B19" s="64"/>
      <c r="D19" s="2" t="s">
        <v>30</v>
      </c>
      <c r="F19" s="28" t="s">
        <v>31</v>
      </c>
      <c r="AL19" s="65"/>
    </row>
    <row r="20" spans="2:38" x14ac:dyDescent="0.2">
      <c r="B20" s="64"/>
      <c r="D20" s="2" t="s">
        <v>32</v>
      </c>
      <c r="E20" s="2" t="s">
        <v>33</v>
      </c>
      <c r="F20" s="28">
        <v>0.85</v>
      </c>
      <c r="AL20" s="65"/>
    </row>
    <row r="21" spans="2:38" x14ac:dyDescent="0.2">
      <c r="B21" s="64"/>
      <c r="D21" s="2" t="s">
        <v>34</v>
      </c>
      <c r="E21" s="2" t="s">
        <v>35</v>
      </c>
      <c r="F21" s="28">
        <v>42</v>
      </c>
      <c r="AL21" s="65"/>
    </row>
    <row r="22" spans="2:38" ht="12.75" customHeight="1" x14ac:dyDescent="0.2">
      <c r="B22" s="64"/>
      <c r="D22" s="2" t="s">
        <v>36</v>
      </c>
      <c r="E22" s="2" t="s">
        <v>37</v>
      </c>
      <c r="F22" s="43">
        <v>2.6714285714285708</v>
      </c>
      <c r="AL22" s="65"/>
    </row>
    <row r="23" spans="2:38" x14ac:dyDescent="0.2">
      <c r="B23" s="64"/>
      <c r="AL23" s="65"/>
    </row>
    <row r="24" spans="2:38" x14ac:dyDescent="0.2">
      <c r="B24" s="64"/>
      <c r="AL24" s="65"/>
    </row>
    <row r="25" spans="2:38" ht="12" customHeight="1" thickBot="1" x14ac:dyDescent="0.25">
      <c r="B25" s="67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9"/>
    </row>
    <row r="26" spans="2:38" ht="12" customHeight="1" thickBot="1" x14ac:dyDescent="0.25"/>
    <row r="27" spans="2:38" x14ac:dyDescent="0.2">
      <c r="B27" s="61" t="s">
        <v>38</v>
      </c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3"/>
    </row>
    <row r="28" spans="2:38" x14ac:dyDescent="0.2">
      <c r="B28" s="64"/>
      <c r="AL28" s="65"/>
    </row>
    <row r="29" spans="2:38" ht="122.25" customHeight="1" x14ac:dyDescent="0.2">
      <c r="B29" s="64"/>
      <c r="F29" s="4" t="s">
        <v>39</v>
      </c>
      <c r="G29" s="4" t="s">
        <v>40</v>
      </c>
      <c r="H29" s="4" t="s">
        <v>41</v>
      </c>
      <c r="I29" s="4" t="s">
        <v>42</v>
      </c>
      <c r="J29" s="4" t="s">
        <v>43</v>
      </c>
      <c r="K29" s="4" t="s">
        <v>44</v>
      </c>
      <c r="L29" s="4" t="s">
        <v>45</v>
      </c>
      <c r="M29" s="4" t="s">
        <v>46</v>
      </c>
      <c r="N29" s="4" t="s">
        <v>47</v>
      </c>
      <c r="O29" s="4" t="s">
        <v>48</v>
      </c>
      <c r="P29" s="4" t="s">
        <v>49</v>
      </c>
      <c r="Q29" s="4" t="s">
        <v>50</v>
      </c>
      <c r="R29" s="4" t="s">
        <v>51</v>
      </c>
      <c r="S29" s="4" t="s">
        <v>52</v>
      </c>
      <c r="T29" s="4" t="s">
        <v>53</v>
      </c>
      <c r="U29" s="4" t="s">
        <v>54</v>
      </c>
      <c r="V29" s="4" t="s">
        <v>55</v>
      </c>
      <c r="W29" s="4" t="s">
        <v>56</v>
      </c>
      <c r="X29" s="4" t="s">
        <v>57</v>
      </c>
      <c r="Y29" s="4" t="s">
        <v>58</v>
      </c>
      <c r="Z29" s="4" t="s">
        <v>59</v>
      </c>
      <c r="AA29" s="4" t="s">
        <v>60</v>
      </c>
      <c r="AB29" s="4" t="s">
        <v>61</v>
      </c>
      <c r="AC29" s="4" t="s">
        <v>62</v>
      </c>
      <c r="AD29" s="4" t="s">
        <v>63</v>
      </c>
      <c r="AE29" s="4" t="s">
        <v>64</v>
      </c>
      <c r="AF29" s="4" t="s">
        <v>65</v>
      </c>
      <c r="AG29" s="4" t="s">
        <v>66</v>
      </c>
      <c r="AH29" s="4" t="s">
        <v>67</v>
      </c>
      <c r="AI29" s="4" t="s">
        <v>68</v>
      </c>
      <c r="AJ29" s="4" t="s">
        <v>69</v>
      </c>
      <c r="AK29" s="4" t="s">
        <v>70</v>
      </c>
      <c r="AL29" s="65"/>
    </row>
    <row r="30" spans="2:38" ht="21.75" customHeight="1" x14ac:dyDescent="0.2">
      <c r="B30" s="66" t="s">
        <v>71</v>
      </c>
      <c r="D30" s="3" t="s">
        <v>72</v>
      </c>
      <c r="E30" s="3" t="s">
        <v>2</v>
      </c>
      <c r="F30" s="4" t="s">
        <v>6</v>
      </c>
      <c r="G30" s="4" t="s">
        <v>6</v>
      </c>
      <c r="H30" s="4" t="s">
        <v>73</v>
      </c>
      <c r="I30" s="4" t="s">
        <v>73</v>
      </c>
      <c r="J30" s="4" t="s">
        <v>20</v>
      </c>
      <c r="K30" s="4" t="s">
        <v>20</v>
      </c>
      <c r="L30" s="4" t="s">
        <v>74</v>
      </c>
      <c r="M30" s="4" t="s">
        <v>22</v>
      </c>
      <c r="N30" s="4" t="s">
        <v>17</v>
      </c>
      <c r="O30" s="4" t="s">
        <v>17</v>
      </c>
      <c r="P30" s="4" t="s">
        <v>17</v>
      </c>
      <c r="Q30" s="4" t="s">
        <v>17</v>
      </c>
      <c r="R30" s="4" t="s">
        <v>17</v>
      </c>
      <c r="S30" s="4" t="s">
        <v>17</v>
      </c>
      <c r="T30" s="4" t="s">
        <v>17</v>
      </c>
      <c r="U30" s="4" t="s">
        <v>17</v>
      </c>
      <c r="V30" s="4" t="s">
        <v>17</v>
      </c>
      <c r="W30" s="4" t="s">
        <v>17</v>
      </c>
      <c r="X30" s="4" t="s">
        <v>17</v>
      </c>
      <c r="Y30" s="4" t="s">
        <v>17</v>
      </c>
      <c r="Z30" s="4" t="s">
        <v>17</v>
      </c>
      <c r="AA30" s="4" t="s">
        <v>20</v>
      </c>
      <c r="AB30" s="4" t="s">
        <v>20</v>
      </c>
      <c r="AC30" s="4" t="s">
        <v>20</v>
      </c>
      <c r="AD30" s="4" t="s">
        <v>20</v>
      </c>
      <c r="AE30" s="4" t="s">
        <v>20</v>
      </c>
      <c r="AF30" s="4" t="s">
        <v>20</v>
      </c>
      <c r="AG30" s="4" t="s">
        <v>20</v>
      </c>
      <c r="AH30" s="4" t="s">
        <v>20</v>
      </c>
      <c r="AI30" s="4" t="s">
        <v>20</v>
      </c>
      <c r="AJ30" s="4" t="s">
        <v>75</v>
      </c>
      <c r="AK30" s="4" t="s">
        <v>75</v>
      </c>
      <c r="AL30" s="65"/>
    </row>
    <row r="31" spans="2:38" x14ac:dyDescent="0.2">
      <c r="B31" s="64"/>
      <c r="D31" s="2" t="s">
        <v>39</v>
      </c>
      <c r="E31" s="2" t="s">
        <v>6</v>
      </c>
      <c r="F31" s="10">
        <v>0</v>
      </c>
      <c r="G31" s="12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2">
        <v>0</v>
      </c>
      <c r="AL31" s="65"/>
    </row>
    <row r="32" spans="2:38" x14ac:dyDescent="0.2">
      <c r="B32" s="64"/>
      <c r="D32" s="2" t="s">
        <v>40</v>
      </c>
      <c r="E32" s="2" t="s">
        <v>6</v>
      </c>
      <c r="F32" s="13">
        <v>0</v>
      </c>
      <c r="G32" s="14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14">
        <v>0</v>
      </c>
      <c r="AL32" s="65"/>
    </row>
    <row r="33" spans="2:38" x14ac:dyDescent="0.2">
      <c r="B33" s="64"/>
      <c r="D33" s="2" t="s">
        <v>41</v>
      </c>
      <c r="E33" s="2" t="s">
        <v>73</v>
      </c>
      <c r="F33" s="20">
        <v>3.9999999999999998E-6</v>
      </c>
      <c r="G33" s="14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14">
        <v>0</v>
      </c>
      <c r="AL33" s="65"/>
    </row>
    <row r="34" spans="2:38" x14ac:dyDescent="0.2">
      <c r="B34" s="64"/>
      <c r="D34" s="2" t="s">
        <v>42</v>
      </c>
      <c r="E34" s="2" t="s">
        <v>73</v>
      </c>
      <c r="F34" s="13">
        <v>0</v>
      </c>
      <c r="G34" s="50">
        <v>3.9999999999999998E-6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14">
        <v>0</v>
      </c>
      <c r="AL34" s="65"/>
    </row>
    <row r="35" spans="2:38" x14ac:dyDescent="0.2">
      <c r="B35" s="64"/>
      <c r="D35" s="2" t="s">
        <v>43</v>
      </c>
      <c r="E35" s="2" t="s">
        <v>20</v>
      </c>
      <c r="F35" s="13">
        <v>0</v>
      </c>
      <c r="G35" s="50">
        <v>2.4000000000000001E-4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14">
        <v>0</v>
      </c>
      <c r="AL35" s="65"/>
    </row>
    <row r="36" spans="2:38" x14ac:dyDescent="0.2">
      <c r="B36" s="64"/>
      <c r="D36" s="2" t="s">
        <v>44</v>
      </c>
      <c r="E36" s="2" t="s">
        <v>20</v>
      </c>
      <c r="F36" s="13">
        <v>0</v>
      </c>
      <c r="G36" s="50">
        <v>2.4000000000000001E-4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14">
        <v>0</v>
      </c>
      <c r="AL36" s="65"/>
    </row>
    <row r="37" spans="2:38" x14ac:dyDescent="0.2">
      <c r="B37" s="64"/>
      <c r="D37" s="2" t="s">
        <v>45</v>
      </c>
      <c r="E37" s="2" t="s">
        <v>74</v>
      </c>
      <c r="F37" s="20">
        <v>7.0000000000000007E-2</v>
      </c>
      <c r="G37" s="14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14">
        <v>0</v>
      </c>
      <c r="AL37" s="65"/>
    </row>
    <row r="38" spans="2:38" x14ac:dyDescent="0.2">
      <c r="B38" s="64"/>
      <c r="D38" s="2" t="s">
        <v>46</v>
      </c>
      <c r="E38" s="2" t="s">
        <v>22</v>
      </c>
      <c r="F38" s="20">
        <v>5.9999999999999995E-4</v>
      </c>
      <c r="G38" s="14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14">
        <v>0</v>
      </c>
      <c r="AL38" s="65"/>
    </row>
    <row r="39" spans="2:38" x14ac:dyDescent="0.2">
      <c r="B39" s="64"/>
      <c r="D39" s="2" t="s">
        <v>47</v>
      </c>
      <c r="E39" s="2" t="s">
        <v>17</v>
      </c>
      <c r="F39" s="13">
        <v>0</v>
      </c>
      <c r="G39" s="14">
        <v>0</v>
      </c>
      <c r="H39" s="15">
        <v>839.8</v>
      </c>
      <c r="I39" s="15">
        <v>713.6</v>
      </c>
      <c r="J39" s="15">
        <v>0.1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14">
        <v>0</v>
      </c>
      <c r="AL39" s="65"/>
    </row>
    <row r="40" spans="2:38" x14ac:dyDescent="0.2">
      <c r="B40" s="64"/>
      <c r="D40" s="2" t="s">
        <v>48</v>
      </c>
      <c r="E40" s="2" t="s">
        <v>17</v>
      </c>
      <c r="F40" s="13">
        <v>0</v>
      </c>
      <c r="G40" s="14">
        <v>0</v>
      </c>
      <c r="H40" s="15">
        <v>159.80000000000001</v>
      </c>
      <c r="I40" s="15">
        <v>86.4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14">
        <v>0</v>
      </c>
      <c r="AL40" s="65"/>
    </row>
    <row r="41" spans="2:38" x14ac:dyDescent="0.2">
      <c r="B41" s="64"/>
      <c r="D41" s="2" t="s">
        <v>49</v>
      </c>
      <c r="E41" s="2" t="s">
        <v>17</v>
      </c>
      <c r="F41" s="13">
        <v>0</v>
      </c>
      <c r="G41" s="14">
        <v>0</v>
      </c>
      <c r="H41" s="15">
        <v>202.3</v>
      </c>
      <c r="I41" s="15">
        <v>257.60000000000002</v>
      </c>
      <c r="J41" s="15">
        <v>0.1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14">
        <v>0</v>
      </c>
      <c r="AL41" s="65"/>
    </row>
    <row r="42" spans="2:38" x14ac:dyDescent="0.2">
      <c r="B42" s="64"/>
      <c r="D42" s="2" t="s">
        <v>50</v>
      </c>
      <c r="E42" s="2" t="s">
        <v>17</v>
      </c>
      <c r="F42" s="13">
        <v>0</v>
      </c>
      <c r="G42" s="14">
        <v>0</v>
      </c>
      <c r="H42" s="15">
        <v>37.4</v>
      </c>
      <c r="I42" s="15">
        <v>38.4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14">
        <v>0</v>
      </c>
      <c r="AL42" s="65"/>
    </row>
    <row r="43" spans="2:38" x14ac:dyDescent="0.2">
      <c r="B43" s="64"/>
      <c r="D43" s="2" t="s">
        <v>51</v>
      </c>
      <c r="E43" s="2" t="s">
        <v>17</v>
      </c>
      <c r="F43" s="13">
        <v>0</v>
      </c>
      <c r="G43" s="14">
        <v>0</v>
      </c>
      <c r="H43" s="15">
        <v>6.8</v>
      </c>
      <c r="I43" s="15">
        <v>6.4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14">
        <v>0</v>
      </c>
      <c r="AL43" s="65"/>
    </row>
    <row r="44" spans="2:38" x14ac:dyDescent="0.2">
      <c r="B44" s="64"/>
      <c r="D44" s="2" t="s">
        <v>52</v>
      </c>
      <c r="E44" s="2" t="s">
        <v>17</v>
      </c>
      <c r="F44" s="13">
        <v>0</v>
      </c>
      <c r="G44" s="14">
        <v>0</v>
      </c>
      <c r="H44" s="15">
        <v>187</v>
      </c>
      <c r="I44" s="15">
        <v>185.6</v>
      </c>
      <c r="J44" s="15">
        <v>0.1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14">
        <v>0</v>
      </c>
      <c r="AL44" s="65"/>
    </row>
    <row r="45" spans="2:38" x14ac:dyDescent="0.2">
      <c r="B45" s="64"/>
      <c r="D45" s="2" t="s">
        <v>53</v>
      </c>
      <c r="E45" s="2" t="s">
        <v>17</v>
      </c>
      <c r="F45" s="13">
        <v>0</v>
      </c>
      <c r="G45" s="14">
        <v>0</v>
      </c>
      <c r="H45" s="15">
        <v>62.9</v>
      </c>
      <c r="I45" s="15">
        <v>64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14">
        <v>0</v>
      </c>
      <c r="AL45" s="65"/>
    </row>
    <row r="46" spans="2:38" x14ac:dyDescent="0.2">
      <c r="B46" s="64"/>
      <c r="D46" s="2" t="s">
        <v>54</v>
      </c>
      <c r="E46" s="2" t="s">
        <v>17</v>
      </c>
      <c r="F46" s="13">
        <v>0</v>
      </c>
      <c r="G46" s="14">
        <v>0</v>
      </c>
      <c r="H46" s="15">
        <v>15.3</v>
      </c>
      <c r="I46" s="15">
        <v>6.4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14">
        <v>0</v>
      </c>
      <c r="AL46" s="65"/>
    </row>
    <row r="47" spans="2:38" x14ac:dyDescent="0.2">
      <c r="B47" s="64"/>
      <c r="D47" s="2" t="s">
        <v>55</v>
      </c>
      <c r="E47" s="2" t="s">
        <v>17</v>
      </c>
      <c r="F47" s="13">
        <v>0</v>
      </c>
      <c r="G47" s="14">
        <v>0</v>
      </c>
      <c r="H47" s="15">
        <v>39.1</v>
      </c>
      <c r="I47" s="15">
        <v>59.2</v>
      </c>
      <c r="J47" s="15">
        <v>0.5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14">
        <v>0</v>
      </c>
      <c r="AL47" s="65"/>
    </row>
    <row r="48" spans="2:38" x14ac:dyDescent="0.2">
      <c r="B48" s="64"/>
      <c r="D48" s="2" t="s">
        <v>56</v>
      </c>
      <c r="E48" s="2" t="s">
        <v>17</v>
      </c>
      <c r="F48" s="13">
        <v>0</v>
      </c>
      <c r="G48" s="14">
        <v>0</v>
      </c>
      <c r="H48" s="15">
        <v>6.8</v>
      </c>
      <c r="I48" s="15">
        <v>25.6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14">
        <v>0</v>
      </c>
      <c r="AL48" s="65"/>
    </row>
    <row r="49" spans="2:38" x14ac:dyDescent="0.2">
      <c r="B49" s="64"/>
      <c r="D49" s="2" t="s">
        <v>57</v>
      </c>
      <c r="E49" s="2" t="s">
        <v>17</v>
      </c>
      <c r="F49" s="13">
        <v>0</v>
      </c>
      <c r="G49" s="14">
        <v>0</v>
      </c>
      <c r="H49" s="15">
        <v>79.900000000000006</v>
      </c>
      <c r="I49" s="15">
        <v>91.2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14">
        <v>0</v>
      </c>
      <c r="AL49" s="65"/>
    </row>
    <row r="50" spans="2:38" x14ac:dyDescent="0.2">
      <c r="B50" s="64"/>
      <c r="D50" s="2" t="s">
        <v>58</v>
      </c>
      <c r="E50" s="2" t="s">
        <v>17</v>
      </c>
      <c r="F50" s="13">
        <v>0</v>
      </c>
      <c r="G50" s="14">
        <v>0</v>
      </c>
      <c r="H50" s="15">
        <v>62.9</v>
      </c>
      <c r="I50" s="15">
        <v>65.600000000000009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14">
        <v>0</v>
      </c>
      <c r="AL50" s="65"/>
    </row>
    <row r="51" spans="2:38" x14ac:dyDescent="0.2">
      <c r="B51" s="64"/>
      <c r="D51" s="2" t="s">
        <v>59</v>
      </c>
      <c r="E51" s="2" t="s">
        <v>17</v>
      </c>
      <c r="F51" s="13">
        <v>0</v>
      </c>
      <c r="G51" s="14">
        <v>0</v>
      </c>
      <c r="H51" s="15">
        <v>0</v>
      </c>
      <c r="I51" s="15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14">
        <v>0</v>
      </c>
      <c r="AL51" s="65"/>
    </row>
    <row r="52" spans="2:38" x14ac:dyDescent="0.2">
      <c r="B52" s="64"/>
      <c r="D52" s="2" t="s">
        <v>60</v>
      </c>
      <c r="E52" s="2" t="s">
        <v>20</v>
      </c>
      <c r="F52" s="13">
        <v>0</v>
      </c>
      <c r="G52" s="33">
        <v>0</v>
      </c>
      <c r="H52" s="15">
        <v>1060</v>
      </c>
      <c r="I52" s="15">
        <v>1060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14">
        <v>0</v>
      </c>
      <c r="AL52" s="65"/>
    </row>
    <row r="53" spans="2:38" x14ac:dyDescent="0.2">
      <c r="B53" s="64"/>
      <c r="D53" s="2" t="s">
        <v>61</v>
      </c>
      <c r="E53" s="2" t="s">
        <v>20</v>
      </c>
      <c r="F53" s="13">
        <v>0</v>
      </c>
      <c r="G53" s="33">
        <v>0.2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14">
        <v>0</v>
      </c>
      <c r="AL53" s="65"/>
    </row>
    <row r="54" spans="2:38" x14ac:dyDescent="0.2">
      <c r="B54" s="64"/>
      <c r="D54" s="2" t="s">
        <v>62</v>
      </c>
      <c r="E54" s="2" t="s">
        <v>20</v>
      </c>
      <c r="F54" s="13">
        <v>0</v>
      </c>
      <c r="G54" s="14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70">
        <v>0</v>
      </c>
      <c r="AB54" s="70">
        <v>0.35114706086683761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14">
        <v>0</v>
      </c>
      <c r="AL54" s="65"/>
    </row>
    <row r="55" spans="2:38" x14ac:dyDescent="0.2">
      <c r="B55" s="64"/>
      <c r="D55" s="2" t="s">
        <v>63</v>
      </c>
      <c r="E55" s="2" t="s">
        <v>20</v>
      </c>
      <c r="F55" s="13">
        <v>0</v>
      </c>
      <c r="G55" s="14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70">
        <v>0.67249258861885519</v>
      </c>
      <c r="AB55" s="70">
        <v>0.3995407749892258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14">
        <v>0</v>
      </c>
      <c r="AL55" s="65"/>
    </row>
    <row r="56" spans="2:38" x14ac:dyDescent="0.2">
      <c r="B56" s="64"/>
      <c r="D56" s="2" t="s">
        <v>64</v>
      </c>
      <c r="E56" s="2" t="s">
        <v>20</v>
      </c>
      <c r="F56" s="13">
        <v>0</v>
      </c>
      <c r="G56" s="14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70">
        <v>0.17379572895423351</v>
      </c>
      <c r="AB56" s="70">
        <v>0.1140561568477885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14">
        <v>0</v>
      </c>
      <c r="AL56" s="65"/>
    </row>
    <row r="57" spans="2:38" x14ac:dyDescent="0.2">
      <c r="B57" s="64"/>
      <c r="D57" s="2" t="s">
        <v>65</v>
      </c>
      <c r="E57" s="2" t="s">
        <v>20</v>
      </c>
      <c r="F57" s="13">
        <v>0</v>
      </c>
      <c r="G57" s="14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70">
        <v>3.061235810618388E-2</v>
      </c>
      <c r="AB57" s="70">
        <v>8.5191751915024441E-2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14">
        <v>0</v>
      </c>
      <c r="AL57" s="65"/>
    </row>
    <row r="58" spans="2:38" x14ac:dyDescent="0.2">
      <c r="B58" s="64"/>
      <c r="D58" s="2" t="s">
        <v>66</v>
      </c>
      <c r="E58" s="2" t="s">
        <v>20</v>
      </c>
      <c r="F58" s="13">
        <v>0</v>
      </c>
      <c r="G58" s="14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70">
        <v>4.4776468568166047E-3</v>
      </c>
      <c r="AB58" s="70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14">
        <v>0</v>
      </c>
      <c r="AL58" s="65"/>
    </row>
    <row r="59" spans="2:38" x14ac:dyDescent="0.2">
      <c r="B59" s="64"/>
      <c r="D59" s="2" t="s">
        <v>67</v>
      </c>
      <c r="E59" s="2" t="s">
        <v>20</v>
      </c>
      <c r="F59" s="13">
        <v>0</v>
      </c>
      <c r="G59" s="14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70">
        <v>2.5852938965992531E-2</v>
      </c>
      <c r="AB59" s="70">
        <v>5.3683478126073051E-3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14">
        <v>0</v>
      </c>
      <c r="AL59" s="65"/>
    </row>
    <row r="60" spans="2:38" x14ac:dyDescent="0.2">
      <c r="B60" s="64"/>
      <c r="D60" s="2" t="s">
        <v>68</v>
      </c>
      <c r="E60" s="2" t="s">
        <v>20</v>
      </c>
      <c r="F60" s="13">
        <v>0</v>
      </c>
      <c r="G60" s="14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70">
        <v>9.2768738497918307E-2</v>
      </c>
      <c r="AB60" s="70">
        <v>4.4695907568516373E-2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14">
        <v>0</v>
      </c>
      <c r="AL60" s="65"/>
    </row>
    <row r="61" spans="2:38" x14ac:dyDescent="0.2">
      <c r="B61" s="64"/>
      <c r="D61" s="2" t="s">
        <v>69</v>
      </c>
      <c r="E61" s="2" t="s">
        <v>75</v>
      </c>
      <c r="F61" s="13">
        <v>0</v>
      </c>
      <c r="G61" s="14">
        <v>0</v>
      </c>
      <c r="H61" s="15">
        <v>1512</v>
      </c>
      <c r="I61" s="15">
        <v>1512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14">
        <v>0</v>
      </c>
      <c r="AL61" s="65"/>
    </row>
    <row r="62" spans="2:38" x14ac:dyDescent="0.2">
      <c r="B62" s="64"/>
      <c r="D62" s="2" t="s">
        <v>70</v>
      </c>
      <c r="E62" s="2" t="s">
        <v>75</v>
      </c>
      <c r="F62" s="16">
        <v>0</v>
      </c>
      <c r="G62" s="18">
        <v>0</v>
      </c>
      <c r="H62" s="19">
        <v>2124</v>
      </c>
      <c r="I62" s="19">
        <v>2124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8">
        <v>0</v>
      </c>
      <c r="AL62" s="65"/>
    </row>
    <row r="63" spans="2:38" x14ac:dyDescent="0.2">
      <c r="B63" s="64"/>
      <c r="AL63" s="65"/>
    </row>
    <row r="64" spans="2:38" x14ac:dyDescent="0.2">
      <c r="B64" s="64"/>
      <c r="AL64" s="65"/>
    </row>
    <row r="65" spans="2:39" x14ac:dyDescent="0.2">
      <c r="B65" s="66" t="s">
        <v>76</v>
      </c>
      <c r="D65" s="3" t="s">
        <v>77</v>
      </c>
      <c r="E65" s="3" t="s">
        <v>2</v>
      </c>
      <c r="AL65" s="65"/>
    </row>
    <row r="66" spans="2:39" x14ac:dyDescent="0.2">
      <c r="B66" s="64"/>
      <c r="D66" s="2" t="s">
        <v>78</v>
      </c>
      <c r="E66" s="2" t="s">
        <v>17</v>
      </c>
      <c r="F66" s="24">
        <v>0.187</v>
      </c>
      <c r="G66" s="11">
        <v>0</v>
      </c>
      <c r="H66" s="11">
        <v>0</v>
      </c>
      <c r="I66" s="11">
        <v>0</v>
      </c>
      <c r="J66" s="25">
        <v>67</v>
      </c>
      <c r="K66" s="25">
        <v>-7</v>
      </c>
      <c r="L66" s="25">
        <v>0.59</v>
      </c>
      <c r="M66" s="25">
        <v>1</v>
      </c>
      <c r="N66" s="25">
        <v>2.4700000000000002</v>
      </c>
      <c r="O66" s="25">
        <v>0.9</v>
      </c>
      <c r="P66" s="25">
        <v>12.05</v>
      </c>
      <c r="Q66" s="25">
        <v>1.1299999999999999</v>
      </c>
      <c r="R66" s="25">
        <v>5.68</v>
      </c>
      <c r="S66" s="25">
        <v>3.61</v>
      </c>
      <c r="T66" s="25">
        <v>3.3</v>
      </c>
      <c r="U66" s="25">
        <v>4.2</v>
      </c>
      <c r="V66" s="25">
        <v>3.61</v>
      </c>
      <c r="W66" s="25">
        <v>7.67</v>
      </c>
      <c r="X66" s="25">
        <v>36.630000000000003</v>
      </c>
      <c r="Y66" s="25">
        <v>24.25</v>
      </c>
      <c r="Z66" s="25">
        <v>18.940000000000001</v>
      </c>
      <c r="AA66" s="11">
        <v>0</v>
      </c>
      <c r="AB66" s="11">
        <v>0</v>
      </c>
      <c r="AC66" s="25">
        <v>6.0000000000000001E-3</v>
      </c>
      <c r="AD66" s="25">
        <v>1.2E-2</v>
      </c>
      <c r="AE66" s="25">
        <v>3.5000000000000003E-2</v>
      </c>
      <c r="AF66" s="25">
        <v>8.0000000000000002E-3</v>
      </c>
      <c r="AG66" s="25">
        <v>1.05</v>
      </c>
      <c r="AH66" s="25">
        <v>1.1499999999999999</v>
      </c>
      <c r="AI66" s="25">
        <v>0.37</v>
      </c>
      <c r="AJ66" s="11">
        <v>0</v>
      </c>
      <c r="AK66" s="12">
        <v>0</v>
      </c>
      <c r="AL66" s="65"/>
      <c r="AM66" s="2">
        <v>1</v>
      </c>
    </row>
    <row r="67" spans="2:39" x14ac:dyDescent="0.2">
      <c r="B67" s="64"/>
      <c r="D67" s="2" t="s">
        <v>79</v>
      </c>
      <c r="E67" s="2" t="s">
        <v>17</v>
      </c>
      <c r="F67" s="13">
        <v>0</v>
      </c>
      <c r="G67" s="2">
        <v>0</v>
      </c>
      <c r="H67" s="2">
        <v>0</v>
      </c>
      <c r="I67" s="2">
        <v>0</v>
      </c>
      <c r="J67" s="15">
        <v>0.18</v>
      </c>
      <c r="K67" s="15">
        <v>-0.01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15">
        <v>0.04</v>
      </c>
      <c r="AJ67" s="2">
        <v>0</v>
      </c>
      <c r="AK67" s="14">
        <v>0</v>
      </c>
      <c r="AL67" s="65"/>
      <c r="AM67" s="2">
        <v>1</v>
      </c>
    </row>
    <row r="68" spans="2:39" x14ac:dyDescent="0.2">
      <c r="B68" s="64"/>
      <c r="D68" s="2" t="s">
        <v>80</v>
      </c>
      <c r="E68" s="2" t="s">
        <v>75</v>
      </c>
      <c r="F68" s="20">
        <v>0</v>
      </c>
      <c r="G68" s="2">
        <v>0</v>
      </c>
      <c r="H68" s="2">
        <v>0</v>
      </c>
      <c r="I68" s="2">
        <v>0</v>
      </c>
      <c r="J68" s="15">
        <v>1393.2</v>
      </c>
      <c r="K68" s="15">
        <v>-223.2</v>
      </c>
      <c r="L68" s="71">
        <v>49.56</v>
      </c>
      <c r="M68" s="2">
        <v>0</v>
      </c>
      <c r="N68" s="15">
        <v>32.04</v>
      </c>
      <c r="O68" s="15">
        <v>12.6</v>
      </c>
      <c r="P68" s="15">
        <v>191.52</v>
      </c>
      <c r="Q68" s="15">
        <v>11.88</v>
      </c>
      <c r="R68" s="15">
        <v>100.8</v>
      </c>
      <c r="S68" s="15">
        <v>30.96</v>
      </c>
      <c r="T68" s="15">
        <v>35.64</v>
      </c>
      <c r="U68" s="15">
        <v>47.88</v>
      </c>
      <c r="V68" s="15">
        <v>42.84</v>
      </c>
      <c r="W68" s="15">
        <v>109.08</v>
      </c>
      <c r="X68" s="15">
        <v>480.24</v>
      </c>
      <c r="Y68" s="15">
        <v>270.72000000000003</v>
      </c>
      <c r="Z68" s="15">
        <v>324.72000000000003</v>
      </c>
      <c r="AA68" s="2">
        <v>0</v>
      </c>
      <c r="AB68" s="2">
        <v>0</v>
      </c>
      <c r="AC68" s="15">
        <v>0.08</v>
      </c>
      <c r="AD68" s="15">
        <v>0.16</v>
      </c>
      <c r="AE68" s="15">
        <v>0.54</v>
      </c>
      <c r="AF68" s="15">
        <v>0.3</v>
      </c>
      <c r="AG68" s="15">
        <v>11</v>
      </c>
      <c r="AH68" s="15">
        <v>13</v>
      </c>
      <c r="AI68" s="15">
        <v>9</v>
      </c>
      <c r="AJ68" s="2">
        <v>0</v>
      </c>
      <c r="AK68" s="14">
        <v>0</v>
      </c>
      <c r="AL68" s="65"/>
      <c r="AM68" s="2">
        <v>3.6</v>
      </c>
    </row>
    <row r="69" spans="2:39" x14ac:dyDescent="0.2">
      <c r="B69" s="64"/>
      <c r="D69" s="2" t="s">
        <v>81</v>
      </c>
      <c r="E69" s="2" t="s">
        <v>17</v>
      </c>
      <c r="F69" s="20">
        <v>0</v>
      </c>
      <c r="G69" s="2">
        <v>0</v>
      </c>
      <c r="H69" s="2">
        <v>0</v>
      </c>
      <c r="I69" s="2">
        <v>0</v>
      </c>
      <c r="J69" s="15">
        <v>8</v>
      </c>
      <c r="K69" s="15">
        <v>0</v>
      </c>
      <c r="L69" s="2">
        <v>0</v>
      </c>
      <c r="M69" s="2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2">
        <v>0</v>
      </c>
      <c r="AB69" s="2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2">
        <v>0</v>
      </c>
      <c r="AK69" s="14">
        <v>0</v>
      </c>
      <c r="AL69" s="65"/>
    </row>
    <row r="70" spans="2:39" x14ac:dyDescent="0.2">
      <c r="B70" s="64"/>
      <c r="D70" s="2" t="s">
        <v>82</v>
      </c>
      <c r="E70" s="2" t="s">
        <v>17</v>
      </c>
      <c r="F70" s="20">
        <v>0</v>
      </c>
      <c r="G70" s="2">
        <v>0</v>
      </c>
      <c r="H70" s="2">
        <v>0</v>
      </c>
      <c r="I70" s="2">
        <v>0</v>
      </c>
      <c r="J70" s="15">
        <v>0</v>
      </c>
      <c r="K70" s="15">
        <v>0</v>
      </c>
      <c r="L70" s="2">
        <v>0</v>
      </c>
      <c r="M70" s="2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1</v>
      </c>
      <c r="W70" s="15">
        <v>0</v>
      </c>
      <c r="X70" s="15">
        <v>0</v>
      </c>
      <c r="Y70" s="15">
        <v>0</v>
      </c>
      <c r="Z70" s="15">
        <v>0</v>
      </c>
      <c r="AA70" s="2">
        <v>0</v>
      </c>
      <c r="AB70" s="2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  <c r="AJ70" s="2">
        <v>0</v>
      </c>
      <c r="AK70" s="14">
        <v>0</v>
      </c>
      <c r="AL70" s="65"/>
    </row>
    <row r="71" spans="2:39" x14ac:dyDescent="0.2">
      <c r="B71" s="64"/>
      <c r="D71" s="2" t="s">
        <v>83</v>
      </c>
      <c r="E71" s="2" t="s">
        <v>17</v>
      </c>
      <c r="F71" s="20">
        <v>0</v>
      </c>
      <c r="G71" s="2">
        <v>0</v>
      </c>
      <c r="H71" s="2">
        <v>0</v>
      </c>
      <c r="I71" s="2">
        <v>0</v>
      </c>
      <c r="J71" s="15">
        <v>0</v>
      </c>
      <c r="K71" s="15">
        <v>0</v>
      </c>
      <c r="L71" s="2">
        <v>0</v>
      </c>
      <c r="M71" s="2">
        <v>0</v>
      </c>
      <c r="N71" s="15">
        <v>1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2">
        <v>0</v>
      </c>
      <c r="AB71" s="2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  <c r="AJ71" s="2">
        <v>0</v>
      </c>
      <c r="AK71" s="14">
        <v>0</v>
      </c>
      <c r="AL71" s="65"/>
    </row>
    <row r="72" spans="2:39" x14ac:dyDescent="0.2">
      <c r="B72" s="64"/>
      <c r="D72" s="2" t="s">
        <v>84</v>
      </c>
      <c r="E72" s="2" t="s">
        <v>17</v>
      </c>
      <c r="F72" s="23">
        <v>0</v>
      </c>
      <c r="G72" s="17">
        <v>0</v>
      </c>
      <c r="H72" s="17">
        <v>0</v>
      </c>
      <c r="I72" s="17">
        <v>0</v>
      </c>
      <c r="J72" s="19">
        <v>0</v>
      </c>
      <c r="K72" s="19">
        <v>0</v>
      </c>
      <c r="L72" s="17">
        <v>0</v>
      </c>
      <c r="M72" s="17">
        <v>0</v>
      </c>
      <c r="N72" s="19">
        <v>0</v>
      </c>
      <c r="O72" s="19">
        <v>1</v>
      </c>
      <c r="P72" s="19">
        <v>0</v>
      </c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7">
        <v>0</v>
      </c>
      <c r="AB72" s="17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>
        <v>0</v>
      </c>
      <c r="AI72" s="19">
        <v>0</v>
      </c>
      <c r="AJ72" s="17">
        <v>0</v>
      </c>
      <c r="AK72" s="18">
        <v>0</v>
      </c>
      <c r="AL72" s="65"/>
    </row>
    <row r="73" spans="2:39" x14ac:dyDescent="0.2">
      <c r="B73" s="64"/>
      <c r="F73" s="15"/>
      <c r="J73" s="15"/>
      <c r="K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C73" s="15"/>
      <c r="AD73" s="15"/>
      <c r="AE73" s="15"/>
      <c r="AF73" s="15"/>
      <c r="AG73" s="15"/>
      <c r="AH73" s="15"/>
      <c r="AI73" s="15"/>
      <c r="AL73" s="65"/>
    </row>
    <row r="74" spans="2:39" x14ac:dyDescent="0.2">
      <c r="B74" s="66" t="s">
        <v>85</v>
      </c>
      <c r="D74" s="3" t="s">
        <v>86</v>
      </c>
      <c r="F74" s="3" t="s">
        <v>78</v>
      </c>
      <c r="G74" s="3" t="s">
        <v>79</v>
      </c>
      <c r="H74" s="3" t="s">
        <v>80</v>
      </c>
      <c r="I74" s="3" t="s">
        <v>81</v>
      </c>
      <c r="J74" s="3" t="s">
        <v>82</v>
      </c>
      <c r="K74" s="3" t="s">
        <v>83</v>
      </c>
      <c r="L74" s="3" t="s">
        <v>84</v>
      </c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C74" s="15"/>
      <c r="AD74" s="15"/>
      <c r="AE74" s="15"/>
      <c r="AF74" s="15"/>
      <c r="AG74" s="15"/>
      <c r="AH74" s="15"/>
      <c r="AI74" s="15"/>
      <c r="AL74" s="65"/>
    </row>
    <row r="75" spans="2:39" x14ac:dyDescent="0.2">
      <c r="B75" s="64"/>
      <c r="D75" s="2" t="s">
        <v>87</v>
      </c>
      <c r="E75" s="2" t="s">
        <v>88</v>
      </c>
      <c r="F75" s="24">
        <v>1</v>
      </c>
      <c r="G75" s="25">
        <v>28</v>
      </c>
      <c r="H75" s="11">
        <v>0</v>
      </c>
      <c r="I75" s="11">
        <v>0</v>
      </c>
      <c r="J75" s="11">
        <v>0</v>
      </c>
      <c r="K75" s="11">
        <v>0</v>
      </c>
      <c r="L75" s="12">
        <v>0</v>
      </c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C75" s="15"/>
      <c r="AD75" s="15"/>
      <c r="AE75" s="15"/>
      <c r="AF75" s="15"/>
      <c r="AG75" s="15"/>
      <c r="AH75" s="15"/>
      <c r="AI75" s="15"/>
      <c r="AL75" s="65"/>
    </row>
    <row r="76" spans="2:39" x14ac:dyDescent="0.2">
      <c r="B76" s="64"/>
      <c r="D76" s="2" t="s">
        <v>80</v>
      </c>
      <c r="E76" s="2" t="s">
        <v>75</v>
      </c>
      <c r="F76" s="13">
        <v>0</v>
      </c>
      <c r="G76" s="2">
        <v>0</v>
      </c>
      <c r="H76" s="15">
        <v>1</v>
      </c>
      <c r="I76" s="2">
        <v>0</v>
      </c>
      <c r="J76" s="2">
        <v>0</v>
      </c>
      <c r="K76" s="2">
        <v>0</v>
      </c>
      <c r="L76" s="14">
        <v>0</v>
      </c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C76" s="15"/>
      <c r="AD76" s="15"/>
      <c r="AE76" s="15"/>
      <c r="AF76" s="15"/>
      <c r="AG76" s="15"/>
      <c r="AH76" s="15"/>
      <c r="AI76" s="15"/>
      <c r="AL76" s="65"/>
    </row>
    <row r="77" spans="2:39" x14ac:dyDescent="0.2">
      <c r="B77" s="64"/>
      <c r="D77" s="2" t="s">
        <v>89</v>
      </c>
      <c r="E77" s="2" t="s">
        <v>90</v>
      </c>
      <c r="F77" s="16">
        <v>0</v>
      </c>
      <c r="G77" s="17">
        <v>0</v>
      </c>
      <c r="H77" s="17">
        <v>0</v>
      </c>
      <c r="I77" s="48">
        <v>1.15E-5</v>
      </c>
      <c r="J77" s="48">
        <v>1.3699999999999999E-3</v>
      </c>
      <c r="K77" s="48">
        <v>5.2399999999999999E-8</v>
      </c>
      <c r="L77" s="49">
        <v>1.09E-9</v>
      </c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C77" s="15"/>
      <c r="AD77" s="15"/>
      <c r="AE77" s="15"/>
      <c r="AF77" s="15"/>
      <c r="AG77" s="15"/>
      <c r="AH77" s="15"/>
      <c r="AI77" s="15"/>
      <c r="AL77" s="65"/>
    </row>
    <row r="78" spans="2:39" ht="12" customHeight="1" thickBot="1" x14ac:dyDescent="0.25">
      <c r="B78" s="67"/>
      <c r="C78" s="72"/>
      <c r="D78" s="68"/>
      <c r="E78" s="68"/>
      <c r="F78" s="68"/>
      <c r="G78" s="73"/>
      <c r="H78" s="68"/>
      <c r="I78" s="73"/>
      <c r="J78" s="73"/>
      <c r="K78" s="74"/>
      <c r="L78" s="68"/>
      <c r="M78" s="68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68"/>
      <c r="AB78" s="68"/>
      <c r="AC78" s="74"/>
      <c r="AD78" s="74"/>
      <c r="AE78" s="74"/>
      <c r="AF78" s="74"/>
      <c r="AG78" s="74"/>
      <c r="AH78" s="74"/>
      <c r="AI78" s="74"/>
      <c r="AJ78" s="68"/>
      <c r="AK78" s="68"/>
      <c r="AL78" s="69"/>
    </row>
    <row r="79" spans="2:39" ht="12" customHeight="1" thickBot="1" x14ac:dyDescent="0.25">
      <c r="C79" s="3"/>
      <c r="D79" s="3"/>
      <c r="G79" s="44"/>
      <c r="I79" s="44"/>
      <c r="J79" s="44"/>
      <c r="K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C79" s="15"/>
      <c r="AD79" s="15"/>
      <c r="AE79" s="15"/>
      <c r="AF79" s="15"/>
      <c r="AG79" s="15"/>
      <c r="AH79" s="15"/>
      <c r="AI79" s="15"/>
    </row>
    <row r="80" spans="2:39" x14ac:dyDescent="0.2">
      <c r="B80" s="61" t="s">
        <v>91</v>
      </c>
      <c r="C80" s="62"/>
      <c r="D80" s="62"/>
      <c r="E80" s="62"/>
      <c r="F80" s="62"/>
      <c r="G80" s="75"/>
      <c r="H80" s="62"/>
      <c r="I80" s="75"/>
      <c r="J80" s="75"/>
      <c r="K80" s="76"/>
      <c r="L80" s="62"/>
      <c r="M80" s="62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62"/>
      <c r="AB80" s="62"/>
      <c r="AC80" s="76"/>
      <c r="AD80" s="76"/>
      <c r="AE80" s="76"/>
      <c r="AF80" s="76"/>
      <c r="AG80" s="76"/>
      <c r="AH80" s="76"/>
      <c r="AI80" s="76"/>
      <c r="AJ80" s="62"/>
      <c r="AK80" s="62"/>
      <c r="AL80" s="63"/>
    </row>
    <row r="81" spans="2:38" x14ac:dyDescent="0.2">
      <c r="B81" s="64"/>
      <c r="G81" s="44"/>
      <c r="I81" s="44"/>
      <c r="J81" s="44"/>
      <c r="K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C81" s="15"/>
      <c r="AD81" s="15"/>
      <c r="AE81" s="15"/>
      <c r="AF81" s="15"/>
      <c r="AG81" s="15"/>
      <c r="AH81" s="15"/>
      <c r="AI81" s="15"/>
      <c r="AL81" s="65"/>
    </row>
    <row r="82" spans="2:38" x14ac:dyDescent="0.2">
      <c r="B82" s="64"/>
      <c r="C82" s="3"/>
      <c r="D82" s="3"/>
      <c r="G82" s="44"/>
      <c r="I82" s="44"/>
      <c r="J82" s="44"/>
      <c r="K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C82" s="15"/>
      <c r="AD82" s="15"/>
      <c r="AE82" s="15"/>
      <c r="AF82" s="15"/>
      <c r="AG82" s="15"/>
      <c r="AH82" s="15"/>
      <c r="AI82" s="15"/>
      <c r="AL82" s="65"/>
    </row>
    <row r="83" spans="2:38" x14ac:dyDescent="0.2">
      <c r="B83" s="64"/>
      <c r="C83" s="3"/>
      <c r="D83" s="3" t="s">
        <v>86</v>
      </c>
      <c r="G83" s="44"/>
      <c r="I83" s="44"/>
      <c r="J83" s="44"/>
      <c r="K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C83" s="15"/>
      <c r="AD83" s="15"/>
      <c r="AE83" s="15"/>
      <c r="AF83" s="15"/>
      <c r="AG83" s="15"/>
      <c r="AH83" s="15"/>
      <c r="AI83" s="15"/>
      <c r="AL83" s="65"/>
    </row>
    <row r="84" spans="2:38" x14ac:dyDescent="0.2">
      <c r="B84" s="66" t="s">
        <v>92</v>
      </c>
      <c r="D84" s="2" t="s">
        <v>87</v>
      </c>
      <c r="E84" s="2" t="s">
        <v>88</v>
      </c>
      <c r="F84" s="24">
        <v>0.187</v>
      </c>
      <c r="G84" s="11">
        <v>0</v>
      </c>
      <c r="H84" s="11">
        <v>0</v>
      </c>
      <c r="I84" s="11">
        <v>0</v>
      </c>
      <c r="J84" s="25">
        <v>72.040000000000006</v>
      </c>
      <c r="K84" s="25">
        <v>-7.28</v>
      </c>
      <c r="L84" s="11">
        <v>0.59</v>
      </c>
      <c r="M84" s="11">
        <v>1</v>
      </c>
      <c r="N84" s="25">
        <v>2.4700000000000002</v>
      </c>
      <c r="O84" s="25">
        <v>0.9</v>
      </c>
      <c r="P84" s="25">
        <v>12.05</v>
      </c>
      <c r="Q84" s="25">
        <v>1.1299999999999999</v>
      </c>
      <c r="R84" s="25">
        <v>5.68</v>
      </c>
      <c r="S84" s="25">
        <v>3.61</v>
      </c>
      <c r="T84" s="25">
        <v>3.3</v>
      </c>
      <c r="U84" s="25">
        <v>4.2</v>
      </c>
      <c r="V84" s="25">
        <v>3.61</v>
      </c>
      <c r="W84" s="25">
        <v>7.67</v>
      </c>
      <c r="X84" s="25">
        <v>36.630000000000003</v>
      </c>
      <c r="Y84" s="25">
        <v>24.25</v>
      </c>
      <c r="Z84" s="25">
        <v>18.940000000000001</v>
      </c>
      <c r="AA84" s="11">
        <v>0</v>
      </c>
      <c r="AB84" s="11">
        <v>0</v>
      </c>
      <c r="AC84" s="25">
        <v>6.0000000000000001E-3</v>
      </c>
      <c r="AD84" s="25">
        <v>1.2E-2</v>
      </c>
      <c r="AE84" s="25">
        <v>3.5000000000000003E-2</v>
      </c>
      <c r="AF84" s="25">
        <v>8.0000000000000002E-3</v>
      </c>
      <c r="AG84" s="25">
        <v>1.05</v>
      </c>
      <c r="AH84" s="25">
        <v>1.1499999999999999</v>
      </c>
      <c r="AI84" s="25">
        <v>1.49</v>
      </c>
      <c r="AJ84" s="11">
        <v>0</v>
      </c>
      <c r="AK84" s="12">
        <v>0</v>
      </c>
      <c r="AL84" s="65"/>
    </row>
    <row r="85" spans="2:38" x14ac:dyDescent="0.2">
      <c r="B85" s="64"/>
      <c r="D85" s="2" t="s">
        <v>80</v>
      </c>
      <c r="E85" s="2" t="s">
        <v>75</v>
      </c>
      <c r="F85" s="20">
        <v>0</v>
      </c>
      <c r="G85" s="2">
        <v>0</v>
      </c>
      <c r="H85" s="2">
        <v>0</v>
      </c>
      <c r="I85" s="2">
        <v>0</v>
      </c>
      <c r="J85" s="15">
        <v>1393.2</v>
      </c>
      <c r="K85" s="15">
        <v>-223.2</v>
      </c>
      <c r="L85" s="2">
        <v>49.56</v>
      </c>
      <c r="M85" s="2">
        <v>0</v>
      </c>
      <c r="N85" s="15">
        <v>32.04</v>
      </c>
      <c r="O85" s="15">
        <v>12.6</v>
      </c>
      <c r="P85" s="15">
        <v>191.52</v>
      </c>
      <c r="Q85" s="15">
        <v>11.88</v>
      </c>
      <c r="R85" s="15">
        <v>100.8</v>
      </c>
      <c r="S85" s="15">
        <v>30.96</v>
      </c>
      <c r="T85" s="15">
        <v>35.64</v>
      </c>
      <c r="U85" s="15">
        <v>47.88</v>
      </c>
      <c r="V85" s="15">
        <v>42.84</v>
      </c>
      <c r="W85" s="15">
        <v>109.08</v>
      </c>
      <c r="X85" s="15">
        <v>480.24</v>
      </c>
      <c r="Y85" s="15">
        <v>270.72000000000003</v>
      </c>
      <c r="Z85" s="15">
        <v>324.72000000000003</v>
      </c>
      <c r="AA85" s="2">
        <v>0</v>
      </c>
      <c r="AB85" s="2">
        <v>0</v>
      </c>
      <c r="AC85" s="15">
        <v>0.08</v>
      </c>
      <c r="AD85" s="15">
        <v>0.16</v>
      </c>
      <c r="AE85" s="15">
        <v>0.54</v>
      </c>
      <c r="AF85" s="15">
        <v>0.3</v>
      </c>
      <c r="AG85" s="15">
        <v>11</v>
      </c>
      <c r="AH85" s="15">
        <v>13</v>
      </c>
      <c r="AI85" s="15">
        <v>9</v>
      </c>
      <c r="AJ85" s="2">
        <v>0</v>
      </c>
      <c r="AK85" s="14">
        <v>0</v>
      </c>
      <c r="AL85" s="65"/>
    </row>
    <row r="86" spans="2:38" x14ac:dyDescent="0.2">
      <c r="B86" s="64"/>
      <c r="D86" s="2" t="s">
        <v>89</v>
      </c>
      <c r="E86" s="2" t="s">
        <v>90</v>
      </c>
      <c r="F86" s="23">
        <v>0</v>
      </c>
      <c r="G86" s="17">
        <v>0</v>
      </c>
      <c r="H86" s="17">
        <v>0</v>
      </c>
      <c r="I86" s="17">
        <v>0</v>
      </c>
      <c r="J86" s="19">
        <v>9.2E-5</v>
      </c>
      <c r="K86" s="19">
        <v>0</v>
      </c>
      <c r="L86" s="17">
        <v>0</v>
      </c>
      <c r="M86" s="17">
        <v>0</v>
      </c>
      <c r="N86" s="19">
        <v>5.2399999999999999E-8</v>
      </c>
      <c r="O86" s="19">
        <v>1.09E-9</v>
      </c>
      <c r="P86" s="19">
        <v>0</v>
      </c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1.3699999999999999E-3</v>
      </c>
      <c r="W86" s="19">
        <v>0</v>
      </c>
      <c r="X86" s="19">
        <v>0</v>
      </c>
      <c r="Y86" s="19">
        <v>0</v>
      </c>
      <c r="Z86" s="19">
        <v>0</v>
      </c>
      <c r="AA86" s="17">
        <v>0</v>
      </c>
      <c r="AB86" s="17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>
        <v>0</v>
      </c>
      <c r="AI86" s="19">
        <v>0</v>
      </c>
      <c r="AJ86" s="17">
        <v>0</v>
      </c>
      <c r="AK86" s="18">
        <v>0</v>
      </c>
      <c r="AL86" s="65"/>
    </row>
    <row r="87" spans="2:38" x14ac:dyDescent="0.2">
      <c r="B87" s="64"/>
      <c r="K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C87" s="15"/>
      <c r="AD87" s="15"/>
      <c r="AE87" s="15"/>
      <c r="AF87" s="15"/>
      <c r="AG87" s="15"/>
      <c r="AH87" s="15"/>
      <c r="AI87" s="15"/>
      <c r="AL87" s="65"/>
    </row>
    <row r="88" spans="2:38" x14ac:dyDescent="0.2">
      <c r="B88" s="64"/>
      <c r="K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C88" s="15"/>
      <c r="AD88" s="15"/>
      <c r="AE88" s="15"/>
      <c r="AF88" s="15"/>
      <c r="AG88" s="15"/>
      <c r="AH88" s="15"/>
      <c r="AI88" s="15"/>
      <c r="AL88" s="65"/>
    </row>
    <row r="89" spans="2:38" x14ac:dyDescent="0.2">
      <c r="B89" s="64"/>
      <c r="AL89" s="65"/>
    </row>
    <row r="90" spans="2:38" x14ac:dyDescent="0.2">
      <c r="B90" s="64"/>
      <c r="AL90" s="65"/>
    </row>
    <row r="91" spans="2:38" hidden="1" x14ac:dyDescent="0.2">
      <c r="B91" s="64"/>
      <c r="AL91" s="65"/>
    </row>
    <row r="92" spans="2:38" hidden="1" x14ac:dyDescent="0.2">
      <c r="B92" s="66" t="s">
        <v>93</v>
      </c>
      <c r="F92" s="10">
        <v>1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1">
        <v>0</v>
      </c>
      <c r="X92" s="11">
        <v>0</v>
      </c>
      <c r="Y92" s="11">
        <v>0</v>
      </c>
      <c r="Z92" s="11">
        <v>0</v>
      </c>
      <c r="AA92" s="11">
        <v>0</v>
      </c>
      <c r="AB92" s="11">
        <v>0</v>
      </c>
      <c r="AC92" s="11">
        <v>0</v>
      </c>
      <c r="AD92" s="11">
        <v>0</v>
      </c>
      <c r="AE92" s="11">
        <v>0</v>
      </c>
      <c r="AF92" s="11">
        <v>0</v>
      </c>
      <c r="AG92" s="11">
        <v>0</v>
      </c>
      <c r="AH92" s="11">
        <v>0</v>
      </c>
      <c r="AI92" s="11">
        <v>0</v>
      </c>
      <c r="AJ92" s="11">
        <v>0</v>
      </c>
      <c r="AK92" s="12">
        <v>0</v>
      </c>
      <c r="AL92" s="65"/>
    </row>
    <row r="93" spans="2:38" hidden="1" x14ac:dyDescent="0.2">
      <c r="B93" s="64"/>
      <c r="F93" s="13">
        <v>0</v>
      </c>
      <c r="G93" s="2">
        <v>1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14">
        <v>0</v>
      </c>
      <c r="AL93" s="65"/>
    </row>
    <row r="94" spans="2:38" hidden="1" x14ac:dyDescent="0.2">
      <c r="B94" s="64"/>
      <c r="F94" s="20">
        <v>0</v>
      </c>
      <c r="G94" s="2">
        <v>0</v>
      </c>
      <c r="H94" s="2">
        <v>1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14">
        <v>0</v>
      </c>
      <c r="AL94" s="65"/>
    </row>
    <row r="95" spans="2:38" hidden="1" x14ac:dyDescent="0.2">
      <c r="B95" s="64"/>
      <c r="F95" s="13">
        <v>0</v>
      </c>
      <c r="G95" s="15">
        <v>0</v>
      </c>
      <c r="H95" s="2">
        <v>0</v>
      </c>
      <c r="I95" s="2">
        <v>1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14">
        <v>0</v>
      </c>
      <c r="AL95" s="65"/>
    </row>
    <row r="96" spans="2:38" hidden="1" x14ac:dyDescent="0.2">
      <c r="B96" s="64"/>
      <c r="F96" s="13">
        <v>0</v>
      </c>
      <c r="G96" s="15">
        <v>0</v>
      </c>
      <c r="H96" s="2">
        <v>0</v>
      </c>
      <c r="I96" s="2">
        <v>0</v>
      </c>
      <c r="J96" s="2">
        <v>1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14">
        <v>0</v>
      </c>
      <c r="AL96" s="65"/>
    </row>
    <row r="97" spans="2:38" hidden="1" x14ac:dyDescent="0.2">
      <c r="B97" s="64"/>
      <c r="F97" s="13">
        <v>0</v>
      </c>
      <c r="G97" s="2">
        <v>0</v>
      </c>
      <c r="H97" s="2">
        <v>0</v>
      </c>
      <c r="I97" s="2">
        <v>0</v>
      </c>
      <c r="J97" s="2">
        <v>0</v>
      </c>
      <c r="K97" s="2">
        <v>1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14">
        <v>0</v>
      </c>
      <c r="AL97" s="65"/>
    </row>
    <row r="98" spans="2:38" hidden="1" x14ac:dyDescent="0.2">
      <c r="B98" s="64"/>
      <c r="F98" s="20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1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14">
        <v>0</v>
      </c>
      <c r="AL98" s="65"/>
    </row>
    <row r="99" spans="2:38" hidden="1" x14ac:dyDescent="0.2">
      <c r="B99" s="64"/>
      <c r="F99" s="20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1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14">
        <v>0</v>
      </c>
      <c r="AL99" s="65"/>
    </row>
    <row r="100" spans="2:38" hidden="1" x14ac:dyDescent="0.2">
      <c r="B100" s="64"/>
      <c r="F100" s="13">
        <v>0</v>
      </c>
      <c r="G100" s="2">
        <v>0</v>
      </c>
      <c r="H100" s="15">
        <v>0</v>
      </c>
      <c r="I100" s="15">
        <v>0</v>
      </c>
      <c r="J100" s="2">
        <v>0</v>
      </c>
      <c r="K100" s="2">
        <v>0</v>
      </c>
      <c r="L100" s="2">
        <v>0</v>
      </c>
      <c r="M100" s="2">
        <v>0</v>
      </c>
      <c r="N100" s="2">
        <v>1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14">
        <v>0</v>
      </c>
      <c r="AL100" s="65"/>
    </row>
    <row r="101" spans="2:38" hidden="1" x14ac:dyDescent="0.2">
      <c r="B101" s="64"/>
      <c r="F101" s="13">
        <v>0</v>
      </c>
      <c r="G101" s="2">
        <v>0</v>
      </c>
      <c r="H101" s="15">
        <v>0</v>
      </c>
      <c r="I101" s="15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1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14">
        <v>0</v>
      </c>
      <c r="AL101" s="65"/>
    </row>
    <row r="102" spans="2:38" hidden="1" x14ac:dyDescent="0.2">
      <c r="B102" s="64"/>
      <c r="F102" s="13">
        <v>0</v>
      </c>
      <c r="G102" s="2">
        <v>0</v>
      </c>
      <c r="H102" s="15">
        <v>0</v>
      </c>
      <c r="I102" s="15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1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14">
        <v>0</v>
      </c>
      <c r="AL102" s="65"/>
    </row>
    <row r="103" spans="2:38" hidden="1" x14ac:dyDescent="0.2">
      <c r="B103" s="64"/>
      <c r="F103" s="13">
        <v>0</v>
      </c>
      <c r="G103" s="2">
        <v>0</v>
      </c>
      <c r="H103" s="15">
        <v>0</v>
      </c>
      <c r="I103" s="15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1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14">
        <v>0</v>
      </c>
      <c r="AL103" s="65"/>
    </row>
    <row r="104" spans="2:38" hidden="1" x14ac:dyDescent="0.2">
      <c r="B104" s="64"/>
      <c r="F104" s="13">
        <v>0</v>
      </c>
      <c r="G104" s="2">
        <v>0</v>
      </c>
      <c r="H104" s="15">
        <v>0</v>
      </c>
      <c r="I104" s="15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1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14">
        <v>0</v>
      </c>
      <c r="AL104" s="65"/>
    </row>
    <row r="105" spans="2:38" hidden="1" x14ac:dyDescent="0.2">
      <c r="B105" s="64"/>
      <c r="F105" s="13">
        <v>0</v>
      </c>
      <c r="G105" s="2">
        <v>0</v>
      </c>
      <c r="H105" s="15">
        <v>0</v>
      </c>
      <c r="I105" s="15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1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14">
        <v>0</v>
      </c>
      <c r="AL105" s="65"/>
    </row>
    <row r="106" spans="2:38" hidden="1" x14ac:dyDescent="0.2">
      <c r="B106" s="64"/>
      <c r="F106" s="13">
        <v>0</v>
      </c>
      <c r="G106" s="2">
        <v>0</v>
      </c>
      <c r="H106" s="15">
        <v>0</v>
      </c>
      <c r="I106" s="15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1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14">
        <v>0</v>
      </c>
      <c r="AL106" s="65"/>
    </row>
    <row r="107" spans="2:38" hidden="1" x14ac:dyDescent="0.2">
      <c r="B107" s="64"/>
      <c r="F107" s="13">
        <v>0</v>
      </c>
      <c r="G107" s="2">
        <v>0</v>
      </c>
      <c r="H107" s="15">
        <v>0</v>
      </c>
      <c r="I107" s="15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1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14">
        <v>0</v>
      </c>
      <c r="AL107" s="65"/>
    </row>
    <row r="108" spans="2:38" hidden="1" x14ac:dyDescent="0.2">
      <c r="B108" s="64"/>
      <c r="F108" s="13">
        <v>0</v>
      </c>
      <c r="G108" s="2">
        <v>0</v>
      </c>
      <c r="H108" s="15">
        <v>0</v>
      </c>
      <c r="I108" s="15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1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14">
        <v>0</v>
      </c>
      <c r="AL108" s="65"/>
    </row>
    <row r="109" spans="2:38" hidden="1" x14ac:dyDescent="0.2">
      <c r="B109" s="64"/>
      <c r="F109" s="13">
        <v>0</v>
      </c>
      <c r="G109" s="2">
        <v>0</v>
      </c>
      <c r="H109" s="15">
        <v>0</v>
      </c>
      <c r="I109" s="15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1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14">
        <v>0</v>
      </c>
      <c r="AL109" s="65"/>
    </row>
    <row r="110" spans="2:38" hidden="1" x14ac:dyDescent="0.2">
      <c r="B110" s="64"/>
      <c r="F110" s="13">
        <v>0</v>
      </c>
      <c r="G110" s="2">
        <v>0</v>
      </c>
      <c r="H110" s="15">
        <v>0</v>
      </c>
      <c r="I110" s="15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1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14">
        <v>0</v>
      </c>
      <c r="AL110" s="65"/>
    </row>
    <row r="111" spans="2:38" hidden="1" x14ac:dyDescent="0.2">
      <c r="B111" s="64"/>
      <c r="F111" s="13">
        <v>0</v>
      </c>
      <c r="G111" s="2">
        <v>0</v>
      </c>
      <c r="H111" s="15">
        <v>0</v>
      </c>
      <c r="I111" s="15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1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14">
        <v>0</v>
      </c>
      <c r="AL111" s="65"/>
    </row>
    <row r="112" spans="2:38" hidden="1" x14ac:dyDescent="0.2">
      <c r="B112" s="64"/>
      <c r="F112" s="13">
        <v>0</v>
      </c>
      <c r="G112" s="2">
        <v>0</v>
      </c>
      <c r="H112" s="15">
        <v>0</v>
      </c>
      <c r="I112" s="15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1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14">
        <v>0</v>
      </c>
      <c r="AL112" s="65"/>
    </row>
    <row r="113" spans="2:38" hidden="1" x14ac:dyDescent="0.2">
      <c r="B113" s="64"/>
      <c r="F113" s="13">
        <v>0</v>
      </c>
      <c r="G113" s="15">
        <v>0</v>
      </c>
      <c r="H113" s="15">
        <v>0</v>
      </c>
      <c r="I113" s="15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1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14">
        <v>0</v>
      </c>
      <c r="AL113" s="65"/>
    </row>
    <row r="114" spans="2:38" hidden="1" x14ac:dyDescent="0.2">
      <c r="B114" s="64"/>
      <c r="F114" s="13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1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14">
        <v>0</v>
      </c>
      <c r="AL114" s="65"/>
    </row>
    <row r="115" spans="2:38" hidden="1" x14ac:dyDescent="0.2">
      <c r="B115" s="64"/>
      <c r="F115" s="13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70">
        <v>0</v>
      </c>
      <c r="AB115" s="70">
        <v>0</v>
      </c>
      <c r="AC115" s="2">
        <v>1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14">
        <v>0</v>
      </c>
      <c r="AL115" s="65"/>
    </row>
    <row r="116" spans="2:38" hidden="1" x14ac:dyDescent="0.2">
      <c r="B116" s="64"/>
      <c r="F116" s="13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70">
        <v>0</v>
      </c>
      <c r="AB116" s="70">
        <v>0</v>
      </c>
      <c r="AC116" s="2">
        <v>0</v>
      </c>
      <c r="AD116" s="2">
        <v>1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14">
        <v>0</v>
      </c>
      <c r="AL116" s="65"/>
    </row>
    <row r="117" spans="2:38" hidden="1" x14ac:dyDescent="0.2">
      <c r="B117" s="64"/>
      <c r="F117" s="13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70">
        <v>0</v>
      </c>
      <c r="AB117" s="70">
        <v>0</v>
      </c>
      <c r="AC117" s="2">
        <v>0</v>
      </c>
      <c r="AD117" s="2">
        <v>0</v>
      </c>
      <c r="AE117" s="2">
        <v>1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14">
        <v>0</v>
      </c>
      <c r="AL117" s="65"/>
    </row>
    <row r="118" spans="2:38" hidden="1" x14ac:dyDescent="0.2">
      <c r="B118" s="64"/>
      <c r="F118" s="13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70">
        <v>0</v>
      </c>
      <c r="AB118" s="70">
        <v>0</v>
      </c>
      <c r="AC118" s="2">
        <v>0</v>
      </c>
      <c r="AD118" s="2">
        <v>0</v>
      </c>
      <c r="AE118" s="2">
        <v>0</v>
      </c>
      <c r="AF118" s="2">
        <v>1</v>
      </c>
      <c r="AG118" s="2">
        <v>0</v>
      </c>
      <c r="AH118" s="2">
        <v>0</v>
      </c>
      <c r="AI118" s="2">
        <v>0</v>
      </c>
      <c r="AJ118" s="2">
        <v>0</v>
      </c>
      <c r="AK118" s="14">
        <v>0</v>
      </c>
      <c r="AL118" s="65"/>
    </row>
    <row r="119" spans="2:38" hidden="1" x14ac:dyDescent="0.2">
      <c r="B119" s="64"/>
      <c r="F119" s="13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70">
        <v>0</v>
      </c>
      <c r="AB119" s="70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1</v>
      </c>
      <c r="AH119" s="2">
        <v>0</v>
      </c>
      <c r="AI119" s="2">
        <v>0</v>
      </c>
      <c r="AJ119" s="2">
        <v>0</v>
      </c>
      <c r="AK119" s="14">
        <v>0</v>
      </c>
      <c r="AL119" s="65"/>
    </row>
    <row r="120" spans="2:38" hidden="1" x14ac:dyDescent="0.2">
      <c r="B120" s="64"/>
      <c r="F120" s="13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70">
        <v>0</v>
      </c>
      <c r="AB120" s="70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1</v>
      </c>
      <c r="AI120" s="2">
        <v>0</v>
      </c>
      <c r="AJ120" s="2">
        <v>0</v>
      </c>
      <c r="AK120" s="14">
        <v>0</v>
      </c>
      <c r="AL120" s="65"/>
    </row>
    <row r="121" spans="2:38" hidden="1" x14ac:dyDescent="0.2">
      <c r="B121" s="64"/>
      <c r="F121" s="13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70">
        <v>0</v>
      </c>
      <c r="AB121" s="70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1</v>
      </c>
      <c r="AJ121" s="2">
        <v>0</v>
      </c>
      <c r="AK121" s="14">
        <v>0</v>
      </c>
      <c r="AL121" s="65"/>
    </row>
    <row r="122" spans="2:38" hidden="1" x14ac:dyDescent="0.2">
      <c r="B122" s="64"/>
      <c r="F122" s="13">
        <v>0</v>
      </c>
      <c r="G122" s="2">
        <v>0</v>
      </c>
      <c r="H122" s="15">
        <v>0</v>
      </c>
      <c r="I122" s="15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1</v>
      </c>
      <c r="AK122" s="14">
        <v>0</v>
      </c>
      <c r="AL122" s="65"/>
    </row>
    <row r="123" spans="2:38" hidden="1" x14ac:dyDescent="0.2">
      <c r="B123" s="64"/>
      <c r="F123" s="16">
        <v>0</v>
      </c>
      <c r="G123" s="17">
        <v>0</v>
      </c>
      <c r="H123" s="19">
        <v>0</v>
      </c>
      <c r="I123" s="19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8">
        <v>1</v>
      </c>
      <c r="AL123" s="65"/>
    </row>
    <row r="124" spans="2:38" hidden="1" x14ac:dyDescent="0.2">
      <c r="B124" s="64"/>
      <c r="AL124" s="65"/>
    </row>
    <row r="125" spans="2:38" x14ac:dyDescent="0.2">
      <c r="B125" s="66" t="s">
        <v>94</v>
      </c>
      <c r="D125" s="3" t="s">
        <v>72</v>
      </c>
      <c r="E125" s="3" t="s">
        <v>2</v>
      </c>
      <c r="AL125" s="65"/>
    </row>
    <row r="126" spans="2:38" x14ac:dyDescent="0.2">
      <c r="B126" s="64"/>
      <c r="D126" s="2" t="s">
        <v>39</v>
      </c>
      <c r="E126" s="2" t="s">
        <v>6</v>
      </c>
      <c r="F126" s="34">
        <v>1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  <c r="S126" s="22">
        <v>0</v>
      </c>
      <c r="T126" s="22">
        <v>0</v>
      </c>
      <c r="U126" s="22">
        <v>0</v>
      </c>
      <c r="V126" s="22">
        <v>0</v>
      </c>
      <c r="W126" s="22">
        <v>0</v>
      </c>
      <c r="X126" s="22">
        <v>0</v>
      </c>
      <c r="Y126" s="22">
        <v>0</v>
      </c>
      <c r="Z126" s="22">
        <v>0</v>
      </c>
      <c r="AA126" s="22">
        <v>0</v>
      </c>
      <c r="AB126" s="22">
        <v>0</v>
      </c>
      <c r="AC126" s="22">
        <v>0</v>
      </c>
      <c r="AD126" s="22">
        <v>0</v>
      </c>
      <c r="AE126" s="22">
        <v>0</v>
      </c>
      <c r="AF126" s="22">
        <v>0</v>
      </c>
      <c r="AG126" s="22">
        <v>0</v>
      </c>
      <c r="AH126" s="22">
        <v>0</v>
      </c>
      <c r="AI126" s="22">
        <v>0</v>
      </c>
      <c r="AJ126" s="22">
        <v>0</v>
      </c>
      <c r="AK126" s="35">
        <v>0</v>
      </c>
      <c r="AL126" s="65"/>
    </row>
    <row r="127" spans="2:38" x14ac:dyDescent="0.2">
      <c r="B127" s="64"/>
      <c r="D127" s="2" t="s">
        <v>40</v>
      </c>
      <c r="E127" s="2" t="s">
        <v>6</v>
      </c>
      <c r="F127" s="36">
        <v>0</v>
      </c>
      <c r="G127" s="7">
        <v>1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37">
        <v>0</v>
      </c>
      <c r="AL127" s="65"/>
    </row>
    <row r="128" spans="2:38" x14ac:dyDescent="0.2">
      <c r="B128" s="64"/>
      <c r="D128" s="2" t="s">
        <v>41</v>
      </c>
      <c r="E128" s="2" t="s">
        <v>73</v>
      </c>
      <c r="F128" s="41">
        <v>3.9999999999999981E-6</v>
      </c>
      <c r="G128" s="7">
        <v>-2.7768643212434772E-20</v>
      </c>
      <c r="H128" s="7">
        <v>0.99999999999999423</v>
      </c>
      <c r="I128" s="7">
        <v>-2.1409950606707349E-15</v>
      </c>
      <c r="J128" s="7">
        <v>-7.6976636017988317E-19</v>
      </c>
      <c r="K128" s="7">
        <v>0</v>
      </c>
      <c r="L128" s="7">
        <v>0</v>
      </c>
      <c r="M128" s="7">
        <v>0</v>
      </c>
      <c r="N128" s="7">
        <v>0</v>
      </c>
      <c r="O128" s="7">
        <v>3.0251308572892549E-18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37">
        <v>0</v>
      </c>
      <c r="AL128" s="65"/>
    </row>
    <row r="129" spans="2:38" x14ac:dyDescent="0.2">
      <c r="B129" s="64"/>
      <c r="D129" s="2" t="s">
        <v>42</v>
      </c>
      <c r="E129" s="2" t="s">
        <v>73</v>
      </c>
      <c r="F129" s="36">
        <v>-1.030937089526629E-20</v>
      </c>
      <c r="G129" s="77">
        <v>4.0000000000000168E-6</v>
      </c>
      <c r="H129" s="7">
        <v>2.702539723968687E-15</v>
      </c>
      <c r="I129" s="7">
        <v>0.99999999999999911</v>
      </c>
      <c r="J129" s="7">
        <v>7.6976636017988317E-19</v>
      </c>
      <c r="K129" s="7">
        <v>0</v>
      </c>
      <c r="L129" s="7">
        <v>0</v>
      </c>
      <c r="M129" s="7">
        <v>0</v>
      </c>
      <c r="N129" s="7">
        <v>0</v>
      </c>
      <c r="O129" s="7">
        <v>-3.0251308572892549E-18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37">
        <v>0</v>
      </c>
      <c r="AL129" s="65"/>
    </row>
    <row r="130" spans="2:38" x14ac:dyDescent="0.2">
      <c r="B130" s="64"/>
      <c r="D130" s="2" t="s">
        <v>43</v>
      </c>
      <c r="E130" s="2" t="s">
        <v>20</v>
      </c>
      <c r="F130" s="36">
        <v>0</v>
      </c>
      <c r="G130" s="77">
        <v>2.4000000000000001E-4</v>
      </c>
      <c r="H130" s="7">
        <v>0</v>
      </c>
      <c r="I130" s="7">
        <v>0</v>
      </c>
      <c r="J130" s="7">
        <v>1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37">
        <v>0</v>
      </c>
      <c r="AL130" s="65"/>
    </row>
    <row r="131" spans="2:38" x14ac:dyDescent="0.2">
      <c r="B131" s="64"/>
      <c r="D131" s="2" t="s">
        <v>44</v>
      </c>
      <c r="E131" s="2" t="s">
        <v>20</v>
      </c>
      <c r="F131" s="36">
        <v>0</v>
      </c>
      <c r="G131" s="77">
        <v>2.4000000000000001E-4</v>
      </c>
      <c r="H131" s="7">
        <v>0</v>
      </c>
      <c r="I131" s="7">
        <v>0</v>
      </c>
      <c r="J131" s="7">
        <v>0</v>
      </c>
      <c r="K131" s="7">
        <v>1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37">
        <v>0</v>
      </c>
      <c r="AL131" s="65"/>
    </row>
    <row r="132" spans="2:38" x14ac:dyDescent="0.2">
      <c r="B132" s="64"/>
      <c r="D132" s="2" t="s">
        <v>45</v>
      </c>
      <c r="E132" s="2" t="s">
        <v>74</v>
      </c>
      <c r="F132" s="41">
        <v>7.0000000000000007E-2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1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37">
        <v>0</v>
      </c>
      <c r="AL132" s="65"/>
    </row>
    <row r="133" spans="2:38" x14ac:dyDescent="0.2">
      <c r="B133" s="64"/>
      <c r="D133" s="2" t="s">
        <v>46</v>
      </c>
      <c r="E133" s="2" t="s">
        <v>22</v>
      </c>
      <c r="F133" s="41">
        <v>5.9999999999999995E-4</v>
      </c>
      <c r="G133" s="7">
        <v>0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1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37">
        <v>0</v>
      </c>
      <c r="AL133" s="65"/>
    </row>
    <row r="134" spans="2:38" x14ac:dyDescent="0.2">
      <c r="B134" s="64"/>
      <c r="D134" s="2" t="s">
        <v>47</v>
      </c>
      <c r="E134" s="2" t="s">
        <v>17</v>
      </c>
      <c r="F134" s="36">
        <v>3.359199999999991E-3</v>
      </c>
      <c r="G134" s="7">
        <v>2.8783999999999889E-3</v>
      </c>
      <c r="H134" s="77">
        <v>839.79999999999711</v>
      </c>
      <c r="I134" s="77">
        <v>713.59999999999764</v>
      </c>
      <c r="J134" s="7">
        <v>9.9999999999999908E-2</v>
      </c>
      <c r="K134" s="7">
        <v>0</v>
      </c>
      <c r="L134" s="7">
        <v>0</v>
      </c>
      <c r="M134" s="7">
        <v>0</v>
      </c>
      <c r="N134" s="7">
        <v>1</v>
      </c>
      <c r="O134" s="7">
        <v>3.8177151418990381E-16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37">
        <v>0</v>
      </c>
      <c r="AL134" s="65"/>
    </row>
    <row r="135" spans="2:38" x14ac:dyDescent="0.2">
      <c r="B135" s="64"/>
      <c r="D135" s="2" t="s">
        <v>48</v>
      </c>
      <c r="E135" s="2" t="s">
        <v>17</v>
      </c>
      <c r="F135" s="36">
        <v>6.3919999999999895E-4</v>
      </c>
      <c r="G135" s="7">
        <v>3.4559999999999712E-4</v>
      </c>
      <c r="H135" s="77">
        <v>159.7999999999993</v>
      </c>
      <c r="I135" s="77">
        <v>86.399999999999594</v>
      </c>
      <c r="J135" s="7">
        <v>-5.5260196659687909E-17</v>
      </c>
      <c r="K135" s="7">
        <v>0</v>
      </c>
      <c r="L135" s="7">
        <v>0</v>
      </c>
      <c r="M135" s="7">
        <v>0</v>
      </c>
      <c r="N135" s="7">
        <v>0</v>
      </c>
      <c r="O135" s="7">
        <v>1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37">
        <v>0</v>
      </c>
      <c r="AL135" s="65"/>
    </row>
    <row r="136" spans="2:38" x14ac:dyDescent="0.2">
      <c r="B136" s="64"/>
      <c r="D136" s="2" t="s">
        <v>49</v>
      </c>
      <c r="E136" s="2" t="s">
        <v>17</v>
      </c>
      <c r="F136" s="36">
        <v>8.0919999999999658E-4</v>
      </c>
      <c r="G136" s="7">
        <v>1.0543999999999981E-3</v>
      </c>
      <c r="H136" s="77">
        <v>202.29999999999939</v>
      </c>
      <c r="I136" s="77">
        <v>257.59999999999928</v>
      </c>
      <c r="J136" s="7">
        <v>0.1000000000000001</v>
      </c>
      <c r="K136" s="7">
        <v>0</v>
      </c>
      <c r="L136" s="7">
        <v>0</v>
      </c>
      <c r="M136" s="7">
        <v>0</v>
      </c>
      <c r="N136" s="7">
        <v>-5.5511151231257827E-17</v>
      </c>
      <c r="O136" s="7">
        <v>-9.5930208221517514E-17</v>
      </c>
      <c r="P136" s="7">
        <v>1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37">
        <v>0</v>
      </c>
      <c r="AL136" s="65"/>
    </row>
    <row r="137" spans="2:38" x14ac:dyDescent="0.2">
      <c r="B137" s="64"/>
      <c r="D137" s="2" t="s">
        <v>50</v>
      </c>
      <c r="E137" s="2" t="s">
        <v>17</v>
      </c>
      <c r="F137" s="36">
        <v>1.4959999999999949E-4</v>
      </c>
      <c r="G137" s="7">
        <v>1.5359999999999959E-4</v>
      </c>
      <c r="H137" s="77">
        <v>37.399999999999878</v>
      </c>
      <c r="I137" s="77">
        <v>38.399999999999878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1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37">
        <v>0</v>
      </c>
      <c r="AL137" s="65"/>
    </row>
    <row r="138" spans="2:38" x14ac:dyDescent="0.2">
      <c r="B138" s="64"/>
      <c r="D138" s="2" t="s">
        <v>51</v>
      </c>
      <c r="E138" s="2" t="s">
        <v>17</v>
      </c>
      <c r="F138" s="36">
        <v>2.7199999999999919E-5</v>
      </c>
      <c r="G138" s="7">
        <v>2.5599999999999921E-5</v>
      </c>
      <c r="H138" s="77">
        <v>6.7999999999999794</v>
      </c>
      <c r="I138" s="77">
        <v>6.3999999999999808</v>
      </c>
      <c r="J138" s="7">
        <v>0</v>
      </c>
      <c r="K138" s="7">
        <v>0</v>
      </c>
      <c r="L138" s="7">
        <v>0</v>
      </c>
      <c r="M138" s="7">
        <v>0</v>
      </c>
      <c r="N138" s="7">
        <v>-4.8148248609680896E-35</v>
      </c>
      <c r="O138" s="7">
        <v>6.9388939039072201E-19</v>
      </c>
      <c r="P138" s="7">
        <v>8.6736173798840355E-19</v>
      </c>
      <c r="Q138" s="7">
        <v>0</v>
      </c>
      <c r="R138" s="7">
        <v>1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37">
        <v>0</v>
      </c>
      <c r="AL138" s="65"/>
    </row>
    <row r="139" spans="2:38" x14ac:dyDescent="0.2">
      <c r="B139" s="64"/>
      <c r="D139" s="2" t="s">
        <v>52</v>
      </c>
      <c r="E139" s="2" t="s">
        <v>17</v>
      </c>
      <c r="F139" s="36">
        <v>7.479999999999978E-4</v>
      </c>
      <c r="G139" s="7">
        <v>7.6639999999999803E-4</v>
      </c>
      <c r="H139" s="77">
        <v>186.99999999999949</v>
      </c>
      <c r="I139" s="77">
        <v>185.59999999999951</v>
      </c>
      <c r="J139" s="7">
        <v>9.9999999999999992E-2</v>
      </c>
      <c r="K139" s="7">
        <v>0</v>
      </c>
      <c r="L139" s="7">
        <v>0</v>
      </c>
      <c r="M139" s="7">
        <v>0</v>
      </c>
      <c r="N139" s="7">
        <v>0</v>
      </c>
      <c r="O139" s="7">
        <v>2.4286128663674901E-18</v>
      </c>
      <c r="P139" s="7">
        <v>0</v>
      </c>
      <c r="Q139" s="7">
        <v>0</v>
      </c>
      <c r="R139" s="7">
        <v>0</v>
      </c>
      <c r="S139" s="7">
        <v>1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37">
        <v>0</v>
      </c>
      <c r="AL139" s="65"/>
    </row>
    <row r="140" spans="2:38" x14ac:dyDescent="0.2">
      <c r="B140" s="64"/>
      <c r="D140" s="2" t="s">
        <v>53</v>
      </c>
      <c r="E140" s="2" t="s">
        <v>17</v>
      </c>
      <c r="F140" s="36">
        <v>2.5159999999999918E-4</v>
      </c>
      <c r="G140" s="7">
        <v>2.5599999999999928E-4</v>
      </c>
      <c r="H140" s="77">
        <v>62.899999999999807</v>
      </c>
      <c r="I140" s="77">
        <v>63.999999999999808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-1.908195823574491E-18</v>
      </c>
      <c r="P140" s="7">
        <v>0</v>
      </c>
      <c r="Q140" s="7">
        <v>0</v>
      </c>
      <c r="R140" s="7">
        <v>0</v>
      </c>
      <c r="S140" s="7">
        <v>0</v>
      </c>
      <c r="T140" s="7">
        <v>1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37">
        <v>0</v>
      </c>
      <c r="AL140" s="65"/>
    </row>
    <row r="141" spans="2:38" x14ac:dyDescent="0.2">
      <c r="B141" s="64"/>
      <c r="D141" s="2" t="s">
        <v>54</v>
      </c>
      <c r="E141" s="2" t="s">
        <v>17</v>
      </c>
      <c r="F141" s="36">
        <v>6.1199999999999929E-5</v>
      </c>
      <c r="G141" s="7">
        <v>2.5599999999999752E-5</v>
      </c>
      <c r="H141" s="77">
        <v>15.29999999999994</v>
      </c>
      <c r="I141" s="77">
        <v>6.3999999999999631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1.5439038936193581E-17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1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37">
        <v>0</v>
      </c>
      <c r="AL141" s="65"/>
    </row>
    <row r="142" spans="2:38" x14ac:dyDescent="0.2">
      <c r="B142" s="64"/>
      <c r="D142" s="2" t="s">
        <v>55</v>
      </c>
      <c r="E142" s="2" t="s">
        <v>17</v>
      </c>
      <c r="F142" s="36">
        <v>1.5639999999999919E-4</v>
      </c>
      <c r="G142" s="7">
        <v>3.5679999999999967E-4</v>
      </c>
      <c r="H142" s="77">
        <v>39.099999999999909</v>
      </c>
      <c r="I142" s="77">
        <v>59.199999999999847</v>
      </c>
      <c r="J142" s="7">
        <v>0.5</v>
      </c>
      <c r="K142" s="7">
        <v>0</v>
      </c>
      <c r="L142" s="7">
        <v>0</v>
      </c>
      <c r="M142" s="7">
        <v>0</v>
      </c>
      <c r="N142" s="7">
        <v>0</v>
      </c>
      <c r="O142" s="7">
        <v>-3.4867941867133819E-17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1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37">
        <v>0</v>
      </c>
      <c r="AL142" s="65"/>
    </row>
    <row r="143" spans="2:38" x14ac:dyDescent="0.2">
      <c r="B143" s="64"/>
      <c r="D143" s="2" t="s">
        <v>56</v>
      </c>
      <c r="E143" s="2" t="s">
        <v>17</v>
      </c>
      <c r="F143" s="36">
        <v>2.7199999999999641E-5</v>
      </c>
      <c r="G143" s="7">
        <v>1.024000000000001E-4</v>
      </c>
      <c r="H143" s="77">
        <v>6.8000000000000016</v>
      </c>
      <c r="I143" s="77">
        <v>25.599999999999959</v>
      </c>
      <c r="J143" s="7">
        <v>6.5225602696727949E-17</v>
      </c>
      <c r="K143" s="7">
        <v>0</v>
      </c>
      <c r="L143" s="7">
        <v>0</v>
      </c>
      <c r="M143" s="7">
        <v>0</v>
      </c>
      <c r="N143" s="7">
        <v>0</v>
      </c>
      <c r="O143" s="7">
        <v>-3.2612801348363981E-17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1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37">
        <v>0</v>
      </c>
      <c r="AL143" s="65"/>
    </row>
    <row r="144" spans="2:38" x14ac:dyDescent="0.2">
      <c r="B144" s="64"/>
      <c r="D144" s="2" t="s">
        <v>57</v>
      </c>
      <c r="E144" s="2" t="s">
        <v>17</v>
      </c>
      <c r="F144" s="36">
        <v>3.1959999999999882E-4</v>
      </c>
      <c r="G144" s="7">
        <v>3.6479999999999911E-4</v>
      </c>
      <c r="H144" s="77">
        <v>79.89999999999975</v>
      </c>
      <c r="I144" s="77">
        <v>91.199999999999719</v>
      </c>
      <c r="J144" s="7">
        <v>-1.630640067418199E-17</v>
      </c>
      <c r="K144" s="7">
        <v>0</v>
      </c>
      <c r="L144" s="7">
        <v>0</v>
      </c>
      <c r="M144" s="7">
        <v>0</v>
      </c>
      <c r="N144" s="7">
        <v>-1.540743955509789E-33</v>
      </c>
      <c r="O144" s="7">
        <v>-1.9602375278537921E-17</v>
      </c>
      <c r="P144" s="7">
        <v>2.775557561562891E-17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1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37">
        <v>0</v>
      </c>
      <c r="AL144" s="65"/>
    </row>
    <row r="145" spans="2:38" x14ac:dyDescent="0.2">
      <c r="B145" s="64"/>
      <c r="D145" s="2" t="s">
        <v>58</v>
      </c>
      <c r="E145" s="2" t="s">
        <v>17</v>
      </c>
      <c r="F145" s="36">
        <v>2.5159999999999912E-4</v>
      </c>
      <c r="G145" s="7">
        <v>2.6239999999999928E-4</v>
      </c>
      <c r="H145" s="77">
        <v>62.899999999999793</v>
      </c>
      <c r="I145" s="77">
        <v>65.599999999999795</v>
      </c>
      <c r="J145" s="7">
        <v>-4.5102810375396639E-18</v>
      </c>
      <c r="K145" s="7">
        <v>0</v>
      </c>
      <c r="L145" s="7">
        <v>0</v>
      </c>
      <c r="M145" s="7">
        <v>0</v>
      </c>
      <c r="N145" s="7">
        <v>0</v>
      </c>
      <c r="O145" s="7">
        <v>-4.6837533851373972E-18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1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37">
        <v>0</v>
      </c>
      <c r="AL145" s="65"/>
    </row>
    <row r="146" spans="2:38" x14ac:dyDescent="0.2">
      <c r="B146" s="64"/>
      <c r="D146" s="2" t="s">
        <v>59</v>
      </c>
      <c r="E146" s="2" t="s">
        <v>17</v>
      </c>
      <c r="F146" s="36">
        <v>0</v>
      </c>
      <c r="G146" s="7">
        <v>0</v>
      </c>
      <c r="H146" s="77">
        <v>0</v>
      </c>
      <c r="I146" s="7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1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37">
        <v>0</v>
      </c>
      <c r="AL146" s="65"/>
    </row>
    <row r="147" spans="2:38" x14ac:dyDescent="0.2">
      <c r="B147" s="64"/>
      <c r="D147" s="2" t="s">
        <v>60</v>
      </c>
      <c r="E147" s="2" t="s">
        <v>20</v>
      </c>
      <c r="F147" s="36">
        <v>4.2399999999999868E-3</v>
      </c>
      <c r="G147" s="77">
        <v>4.2399999999999877E-3</v>
      </c>
      <c r="H147" s="77">
        <v>1059.999999999997</v>
      </c>
      <c r="I147" s="77">
        <v>1059.999999999997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1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37">
        <v>0</v>
      </c>
      <c r="AL147" s="65"/>
    </row>
    <row r="148" spans="2:38" x14ac:dyDescent="0.2">
      <c r="B148" s="64"/>
      <c r="D148" s="2" t="s">
        <v>61</v>
      </c>
      <c r="E148" s="2" t="s">
        <v>20</v>
      </c>
      <c r="F148" s="36">
        <v>0</v>
      </c>
      <c r="G148" s="7">
        <v>0.2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1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37">
        <v>0</v>
      </c>
      <c r="AL148" s="65"/>
    </row>
    <row r="149" spans="2:38" x14ac:dyDescent="0.2">
      <c r="B149" s="64"/>
      <c r="D149" s="2" t="s">
        <v>62</v>
      </c>
      <c r="E149" s="2" t="s">
        <v>20</v>
      </c>
      <c r="F149" s="36">
        <v>0</v>
      </c>
      <c r="G149" s="7">
        <v>7.0229412173367506E-2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7">
        <v>0</v>
      </c>
      <c r="AB149" s="77">
        <v>0.35114706086683761</v>
      </c>
      <c r="AC149" s="7">
        <v>1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37">
        <v>0</v>
      </c>
      <c r="AL149" s="65"/>
    </row>
    <row r="150" spans="2:38" x14ac:dyDescent="0.2">
      <c r="B150" s="64"/>
      <c r="D150" s="2" t="s">
        <v>63</v>
      </c>
      <c r="E150" s="2" t="s">
        <v>20</v>
      </c>
      <c r="F150" s="36">
        <v>2.8513685757439369E-3</v>
      </c>
      <c r="G150" s="7">
        <v>8.2759523573589081E-2</v>
      </c>
      <c r="H150" s="7">
        <v>712.84214393598438</v>
      </c>
      <c r="I150" s="7">
        <v>712.84214393598438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7">
        <v>0.67249258861885519</v>
      </c>
      <c r="AB150" s="77">
        <v>0.3995407749892258</v>
      </c>
      <c r="AC150" s="7">
        <v>0</v>
      </c>
      <c r="AD150" s="7">
        <v>1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37">
        <v>0</v>
      </c>
      <c r="AL150" s="65"/>
    </row>
    <row r="151" spans="2:38" x14ac:dyDescent="0.2">
      <c r="B151" s="64"/>
      <c r="D151" s="2" t="s">
        <v>64</v>
      </c>
      <c r="E151" s="2" t="s">
        <v>20</v>
      </c>
      <c r="F151" s="36">
        <v>7.3689389076594795E-4</v>
      </c>
      <c r="G151" s="7">
        <v>2.3548125260323641E-2</v>
      </c>
      <c r="H151" s="7">
        <v>184.22347269148699</v>
      </c>
      <c r="I151" s="7">
        <v>184.22347269148699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7">
        <v>0.17379572895423351</v>
      </c>
      <c r="AB151" s="77">
        <v>0.1140561568477885</v>
      </c>
      <c r="AC151" s="7">
        <v>0</v>
      </c>
      <c r="AD151" s="7">
        <v>0</v>
      </c>
      <c r="AE151" s="7">
        <v>1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37">
        <v>0</v>
      </c>
      <c r="AL151" s="65"/>
    </row>
    <row r="152" spans="2:38" x14ac:dyDescent="0.2">
      <c r="B152" s="64"/>
      <c r="D152" s="2" t="s">
        <v>65</v>
      </c>
      <c r="E152" s="2" t="s">
        <v>20</v>
      </c>
      <c r="F152" s="36">
        <v>1.2979639837021919E-4</v>
      </c>
      <c r="G152" s="7">
        <v>1.7168146781375109E-2</v>
      </c>
      <c r="H152" s="7">
        <v>32.449099592554809</v>
      </c>
      <c r="I152" s="7">
        <v>32.449099592554809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7">
        <v>3.061235810618388E-2</v>
      </c>
      <c r="AB152" s="77">
        <v>8.5191751915024441E-2</v>
      </c>
      <c r="AC152" s="7">
        <v>0</v>
      </c>
      <c r="AD152" s="7">
        <v>0</v>
      </c>
      <c r="AE152" s="7">
        <v>0</v>
      </c>
      <c r="AF152" s="7">
        <v>1</v>
      </c>
      <c r="AG152" s="7">
        <v>0</v>
      </c>
      <c r="AH152" s="7">
        <v>0</v>
      </c>
      <c r="AI152" s="7">
        <v>0</v>
      </c>
      <c r="AJ152" s="7">
        <v>0</v>
      </c>
      <c r="AK152" s="37">
        <v>0</v>
      </c>
      <c r="AL152" s="65"/>
    </row>
    <row r="153" spans="2:38" x14ac:dyDescent="0.2">
      <c r="B153" s="64"/>
      <c r="D153" s="2" t="s">
        <v>66</v>
      </c>
      <c r="E153" s="2" t="s">
        <v>20</v>
      </c>
      <c r="F153" s="36">
        <v>1.8985222672902349E-5</v>
      </c>
      <c r="G153" s="7">
        <v>1.8985222672902349E-5</v>
      </c>
      <c r="H153" s="7">
        <v>4.7463056682255864</v>
      </c>
      <c r="I153" s="7">
        <v>4.7463056682255864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7">
        <v>4.4776468568166047E-3</v>
      </c>
      <c r="AB153" s="7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1</v>
      </c>
      <c r="AH153" s="7">
        <v>0</v>
      </c>
      <c r="AI153" s="7">
        <v>0</v>
      </c>
      <c r="AJ153" s="7">
        <v>0</v>
      </c>
      <c r="AK153" s="37">
        <v>0</v>
      </c>
      <c r="AL153" s="65"/>
    </row>
    <row r="154" spans="2:38" x14ac:dyDescent="0.2">
      <c r="B154" s="64"/>
      <c r="D154" s="2" t="s">
        <v>67</v>
      </c>
      <c r="E154" s="2" t="s">
        <v>20</v>
      </c>
      <c r="F154" s="36">
        <v>1.0961646121580801E-4</v>
      </c>
      <c r="G154" s="7">
        <v>1.1832860237372691E-3</v>
      </c>
      <c r="H154" s="7">
        <v>27.404115303952</v>
      </c>
      <c r="I154" s="7">
        <v>27.404115303952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7">
        <v>2.5852938965992531E-2</v>
      </c>
      <c r="AB154" s="77">
        <v>5.3683478126073051E-3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1</v>
      </c>
      <c r="AI154" s="7">
        <v>0</v>
      </c>
      <c r="AJ154" s="7">
        <v>0</v>
      </c>
      <c r="AK154" s="37">
        <v>0</v>
      </c>
      <c r="AL154" s="65"/>
    </row>
    <row r="155" spans="2:38" x14ac:dyDescent="0.2">
      <c r="B155" s="64"/>
      <c r="D155" s="2" t="s">
        <v>68</v>
      </c>
      <c r="E155" s="2" t="s">
        <v>20</v>
      </c>
      <c r="F155" s="36">
        <v>3.9333945123117242E-4</v>
      </c>
      <c r="G155" s="7">
        <v>9.3325209649344435E-3</v>
      </c>
      <c r="H155" s="7">
        <v>98.334862807793101</v>
      </c>
      <c r="I155" s="7">
        <v>98.334862807793101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7">
        <v>9.2768738497918307E-2</v>
      </c>
      <c r="AB155" s="77">
        <v>4.4695907568516373E-2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1</v>
      </c>
      <c r="AJ155" s="7">
        <v>0</v>
      </c>
      <c r="AK155" s="37">
        <v>0</v>
      </c>
      <c r="AL155" s="65"/>
    </row>
    <row r="156" spans="2:38" x14ac:dyDescent="0.2">
      <c r="B156" s="64"/>
      <c r="D156" s="2" t="s">
        <v>69</v>
      </c>
      <c r="E156" s="2" t="s">
        <v>75</v>
      </c>
      <c r="F156" s="36">
        <v>6.0479999999999813E-3</v>
      </c>
      <c r="G156" s="7">
        <v>6.0479999999999831E-3</v>
      </c>
      <c r="H156" s="77">
        <v>1511.999999999995</v>
      </c>
      <c r="I156" s="77">
        <v>1511.999999999995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1</v>
      </c>
      <c r="AK156" s="37">
        <v>0</v>
      </c>
      <c r="AL156" s="65"/>
    </row>
    <row r="157" spans="2:38" x14ac:dyDescent="0.2">
      <c r="B157" s="64"/>
      <c r="D157" s="2" t="s">
        <v>70</v>
      </c>
      <c r="E157" s="2" t="s">
        <v>75</v>
      </c>
      <c r="F157" s="38">
        <v>8.4959999999999741E-3</v>
      </c>
      <c r="G157" s="39">
        <v>8.4959999999999758E-3</v>
      </c>
      <c r="H157" s="42">
        <v>2123.9999999999941</v>
      </c>
      <c r="I157" s="42">
        <v>2123.9999999999941</v>
      </c>
      <c r="J157" s="39">
        <v>0</v>
      </c>
      <c r="K157" s="39">
        <v>0</v>
      </c>
      <c r="L157" s="39">
        <v>0</v>
      </c>
      <c r="M157" s="39">
        <v>0</v>
      </c>
      <c r="N157" s="39">
        <v>0</v>
      </c>
      <c r="O157" s="39">
        <v>0</v>
      </c>
      <c r="P157" s="39">
        <v>0</v>
      </c>
      <c r="Q157" s="39">
        <v>0</v>
      </c>
      <c r="R157" s="39">
        <v>0</v>
      </c>
      <c r="S157" s="39">
        <v>0</v>
      </c>
      <c r="T157" s="39">
        <v>0</v>
      </c>
      <c r="U157" s="39">
        <v>0</v>
      </c>
      <c r="V157" s="39">
        <v>0</v>
      </c>
      <c r="W157" s="39">
        <v>0</v>
      </c>
      <c r="X157" s="39">
        <v>0</v>
      </c>
      <c r="Y157" s="39">
        <v>0</v>
      </c>
      <c r="Z157" s="39">
        <v>0</v>
      </c>
      <c r="AA157" s="39">
        <v>0</v>
      </c>
      <c r="AB157" s="39">
        <v>0</v>
      </c>
      <c r="AC157" s="39">
        <v>0</v>
      </c>
      <c r="AD157" s="39">
        <v>0</v>
      </c>
      <c r="AE157" s="39">
        <v>0</v>
      </c>
      <c r="AF157" s="39">
        <v>0</v>
      </c>
      <c r="AG157" s="39">
        <v>0</v>
      </c>
      <c r="AH157" s="39">
        <v>0</v>
      </c>
      <c r="AI157" s="39">
        <v>0</v>
      </c>
      <c r="AJ157" s="39">
        <v>0</v>
      </c>
      <c r="AK157" s="40">
        <v>1</v>
      </c>
      <c r="AL157" s="65"/>
    </row>
    <row r="158" spans="2:38" x14ac:dyDescent="0.2">
      <c r="B158" s="64"/>
      <c r="AL158" s="65"/>
    </row>
    <row r="159" spans="2:38" x14ac:dyDescent="0.2">
      <c r="B159" s="64"/>
      <c r="AL159" s="65"/>
    </row>
    <row r="160" spans="2:38" x14ac:dyDescent="0.2">
      <c r="B160" s="66" t="s">
        <v>95</v>
      </c>
      <c r="D160" s="3" t="s">
        <v>77</v>
      </c>
      <c r="E160" s="3" t="s">
        <v>2</v>
      </c>
      <c r="AL160" s="65"/>
    </row>
    <row r="161" spans="2:38" x14ac:dyDescent="0.2">
      <c r="B161" s="64"/>
      <c r="D161" s="2" t="s">
        <v>78</v>
      </c>
      <c r="E161" s="2" t="s">
        <v>17</v>
      </c>
      <c r="F161" s="21">
        <v>0.27056855909143279</v>
      </c>
      <c r="G161" s="26">
        <v>6.7573254482415648E-2</v>
      </c>
      <c r="H161" s="45">
        <v>10417.139772858211</v>
      </c>
      <c r="I161" s="45">
        <v>11361.9357728582</v>
      </c>
      <c r="J161" s="22">
        <v>70.618000000000009</v>
      </c>
      <c r="K161" s="22">
        <v>-7</v>
      </c>
      <c r="L161" s="22">
        <v>0.59</v>
      </c>
      <c r="M161" s="22">
        <v>1</v>
      </c>
      <c r="N161" s="22">
        <v>2.4699999999999989</v>
      </c>
      <c r="O161" s="22">
        <v>0.89999999999999902</v>
      </c>
      <c r="P161" s="22">
        <v>12.05</v>
      </c>
      <c r="Q161" s="22">
        <v>1.1299999999999999</v>
      </c>
      <c r="R161" s="22">
        <v>5.68</v>
      </c>
      <c r="S161" s="22">
        <v>3.61</v>
      </c>
      <c r="T161" s="22">
        <v>3.3</v>
      </c>
      <c r="U161" s="22">
        <v>4.2</v>
      </c>
      <c r="V161" s="22">
        <v>3.61</v>
      </c>
      <c r="W161" s="22">
        <v>7.67</v>
      </c>
      <c r="X161" s="22">
        <v>36.630000000000003</v>
      </c>
      <c r="Y161" s="22">
        <v>24.25</v>
      </c>
      <c r="Z161" s="22">
        <v>18.940000000000001</v>
      </c>
      <c r="AA161" s="22">
        <v>8.3154502696452526E-2</v>
      </c>
      <c r="AB161" s="22">
        <v>3.4285956954913988E-2</v>
      </c>
      <c r="AC161" s="22">
        <v>6.0000000000000001E-3</v>
      </c>
      <c r="AD161" s="22">
        <v>1.2E-2</v>
      </c>
      <c r="AE161" s="22">
        <v>3.5000000000000003E-2</v>
      </c>
      <c r="AF161" s="22">
        <v>8.0000000000000002E-3</v>
      </c>
      <c r="AG161" s="22">
        <v>1.05</v>
      </c>
      <c r="AH161" s="22">
        <v>1.1499999999999999</v>
      </c>
      <c r="AI161" s="22">
        <v>0.37</v>
      </c>
      <c r="AJ161" s="22">
        <v>0</v>
      </c>
      <c r="AK161" s="35">
        <v>0</v>
      </c>
      <c r="AL161" s="65"/>
    </row>
    <row r="162" spans="2:38" x14ac:dyDescent="0.2">
      <c r="B162" s="64"/>
      <c r="D162" s="2" t="s">
        <v>79</v>
      </c>
      <c r="E162" s="2" t="s">
        <v>17</v>
      </c>
      <c r="F162" s="36">
        <v>1.57335780492469E-5</v>
      </c>
      <c r="G162" s="7">
        <v>4.1410083859737777E-4</v>
      </c>
      <c r="H162" s="7">
        <v>3.933394512311724</v>
      </c>
      <c r="I162" s="7">
        <v>3.933394512311724</v>
      </c>
      <c r="J162" s="7">
        <v>0.18</v>
      </c>
      <c r="K162" s="7">
        <v>-0.01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3.7107495399167321E-3</v>
      </c>
      <c r="AB162" s="7">
        <v>1.7878363027406549E-3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0.04</v>
      </c>
      <c r="AJ162" s="7">
        <v>0</v>
      </c>
      <c r="AK162" s="37">
        <v>0</v>
      </c>
      <c r="AL162" s="65"/>
    </row>
    <row r="163" spans="2:38" x14ac:dyDescent="0.2">
      <c r="B163" s="64"/>
      <c r="D163" s="2" t="s">
        <v>80</v>
      </c>
      <c r="E163" s="2" t="s">
        <v>75</v>
      </c>
      <c r="F163" s="36">
        <v>4.0167670350989297</v>
      </c>
      <c r="G163" s="7">
        <v>1.0267938808630259</v>
      </c>
      <c r="H163" s="47">
        <v>136891.75877473259</v>
      </c>
      <c r="I163" s="47">
        <v>151125.2587747325</v>
      </c>
      <c r="J163" s="7">
        <v>1440.0719999999999</v>
      </c>
      <c r="K163" s="7">
        <v>-223.2</v>
      </c>
      <c r="L163" s="7">
        <v>49.56</v>
      </c>
      <c r="M163" s="7">
        <v>0</v>
      </c>
      <c r="N163" s="7">
        <v>32.039999999999992</v>
      </c>
      <c r="O163" s="7">
        <v>12.59999999999998</v>
      </c>
      <c r="P163" s="7">
        <v>191.52</v>
      </c>
      <c r="Q163" s="7">
        <v>11.88</v>
      </c>
      <c r="R163" s="7">
        <v>100.8</v>
      </c>
      <c r="S163" s="7">
        <v>30.96</v>
      </c>
      <c r="T163" s="7">
        <v>35.64</v>
      </c>
      <c r="U163" s="7">
        <v>47.88</v>
      </c>
      <c r="V163" s="7">
        <v>42.84</v>
      </c>
      <c r="W163" s="7">
        <v>109.08</v>
      </c>
      <c r="X163" s="7">
        <v>480.24</v>
      </c>
      <c r="Y163" s="7">
        <v>270.72000000000003</v>
      </c>
      <c r="Z163" s="7">
        <v>324.72000000000003</v>
      </c>
      <c r="AA163" s="7">
        <v>1.430893183710308</v>
      </c>
      <c r="AB163" s="7">
        <v>0.65121782882047852</v>
      </c>
      <c r="AC163" s="7">
        <v>0.08</v>
      </c>
      <c r="AD163" s="7">
        <v>0.16</v>
      </c>
      <c r="AE163" s="7">
        <v>0.54</v>
      </c>
      <c r="AF163" s="7">
        <v>0.3</v>
      </c>
      <c r="AG163" s="7">
        <v>11</v>
      </c>
      <c r="AH163" s="7">
        <v>13</v>
      </c>
      <c r="AI163" s="7">
        <v>9</v>
      </c>
      <c r="AJ163" s="7">
        <v>0</v>
      </c>
      <c r="AK163" s="37">
        <v>0</v>
      </c>
      <c r="AL163" s="65"/>
    </row>
    <row r="164" spans="2:38" x14ac:dyDescent="0.2">
      <c r="B164" s="64"/>
      <c r="D164" s="2" t="s">
        <v>81</v>
      </c>
      <c r="E164" s="2" t="s">
        <v>17</v>
      </c>
      <c r="F164" s="36">
        <v>0</v>
      </c>
      <c r="G164" s="7">
        <v>1.92E-3</v>
      </c>
      <c r="H164" s="47">
        <v>0</v>
      </c>
      <c r="I164" s="47">
        <v>0</v>
      </c>
      <c r="J164" s="7">
        <v>8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37">
        <v>0</v>
      </c>
      <c r="AL164" s="65"/>
    </row>
    <row r="165" spans="2:38" x14ac:dyDescent="0.2">
      <c r="B165" s="64"/>
      <c r="D165" s="2" t="s">
        <v>82</v>
      </c>
      <c r="E165" s="2" t="s">
        <v>17</v>
      </c>
      <c r="F165" s="36">
        <v>1.5639999999999919E-4</v>
      </c>
      <c r="G165" s="7">
        <v>3.5679999999999967E-4</v>
      </c>
      <c r="H165" s="47">
        <v>39.099999999999909</v>
      </c>
      <c r="I165" s="47">
        <v>59.199999999999847</v>
      </c>
      <c r="J165" s="7">
        <v>0.5</v>
      </c>
      <c r="K165" s="7">
        <v>0</v>
      </c>
      <c r="L165" s="7">
        <v>0</v>
      </c>
      <c r="M165" s="7">
        <v>0</v>
      </c>
      <c r="N165" s="7">
        <v>0</v>
      </c>
      <c r="O165" s="7">
        <v>-3.4867941867133819E-17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1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37">
        <v>0</v>
      </c>
      <c r="AL165" s="65"/>
    </row>
    <row r="166" spans="2:38" x14ac:dyDescent="0.2">
      <c r="B166" s="64"/>
      <c r="D166" s="2" t="s">
        <v>83</v>
      </c>
      <c r="E166" s="2" t="s">
        <v>17</v>
      </c>
      <c r="F166" s="36">
        <v>3.359199999999991E-3</v>
      </c>
      <c r="G166" s="7">
        <v>2.8783999999999889E-3</v>
      </c>
      <c r="H166" s="47">
        <v>839.79999999999711</v>
      </c>
      <c r="I166" s="47">
        <v>713.59999999999764</v>
      </c>
      <c r="J166" s="7">
        <v>9.9999999999999908E-2</v>
      </c>
      <c r="K166" s="7">
        <v>0</v>
      </c>
      <c r="L166" s="7">
        <v>0</v>
      </c>
      <c r="M166" s="7">
        <v>0</v>
      </c>
      <c r="N166" s="7">
        <v>1</v>
      </c>
      <c r="O166" s="7">
        <v>3.8177151418990381E-16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37">
        <v>0</v>
      </c>
      <c r="AL166" s="65"/>
    </row>
    <row r="167" spans="2:38" x14ac:dyDescent="0.2">
      <c r="B167" s="64"/>
      <c r="D167" s="2" t="s">
        <v>84</v>
      </c>
      <c r="E167" s="2" t="s">
        <v>17</v>
      </c>
      <c r="F167" s="38">
        <v>6.3919999999999895E-4</v>
      </c>
      <c r="G167" s="39">
        <v>3.4559999999999712E-4</v>
      </c>
      <c r="H167" s="46">
        <v>159.7999999999993</v>
      </c>
      <c r="I167" s="46">
        <v>86.399999999999594</v>
      </c>
      <c r="J167" s="39">
        <v>-5.5260196659687909E-17</v>
      </c>
      <c r="K167" s="39">
        <v>0</v>
      </c>
      <c r="L167" s="39">
        <v>0</v>
      </c>
      <c r="M167" s="39">
        <v>0</v>
      </c>
      <c r="N167" s="39">
        <v>0</v>
      </c>
      <c r="O167" s="39">
        <v>1</v>
      </c>
      <c r="P167" s="39">
        <v>0</v>
      </c>
      <c r="Q167" s="39">
        <v>0</v>
      </c>
      <c r="R167" s="39">
        <v>0</v>
      </c>
      <c r="S167" s="39">
        <v>0</v>
      </c>
      <c r="T167" s="39">
        <v>0</v>
      </c>
      <c r="U167" s="39">
        <v>0</v>
      </c>
      <c r="V167" s="39">
        <v>0</v>
      </c>
      <c r="W167" s="39">
        <v>0</v>
      </c>
      <c r="X167" s="39">
        <v>0</v>
      </c>
      <c r="Y167" s="39">
        <v>0</v>
      </c>
      <c r="Z167" s="39">
        <v>0</v>
      </c>
      <c r="AA167" s="39">
        <v>0</v>
      </c>
      <c r="AB167" s="39">
        <v>0</v>
      </c>
      <c r="AC167" s="39">
        <v>0</v>
      </c>
      <c r="AD167" s="39">
        <v>0</v>
      </c>
      <c r="AE167" s="39">
        <v>0</v>
      </c>
      <c r="AF167" s="39">
        <v>0</v>
      </c>
      <c r="AG167" s="39">
        <v>0</v>
      </c>
      <c r="AH167" s="39">
        <v>0</v>
      </c>
      <c r="AI167" s="39">
        <v>0</v>
      </c>
      <c r="AJ167" s="39">
        <v>0</v>
      </c>
      <c r="AK167" s="40">
        <v>0</v>
      </c>
      <c r="AL167" s="65"/>
    </row>
    <row r="168" spans="2:38" ht="12" customHeight="1" thickBot="1" x14ac:dyDescent="0.25">
      <c r="B168" s="67"/>
      <c r="C168" s="68"/>
      <c r="D168" s="68"/>
      <c r="E168" s="68"/>
      <c r="F168" s="78"/>
      <c r="G168" s="78"/>
      <c r="H168" s="79"/>
      <c r="I168" s="79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  <c r="AC168" s="78"/>
      <c r="AD168" s="78"/>
      <c r="AE168" s="78"/>
      <c r="AF168" s="78"/>
      <c r="AG168" s="78"/>
      <c r="AH168" s="78"/>
      <c r="AI168" s="78"/>
      <c r="AJ168" s="78"/>
      <c r="AK168" s="78"/>
      <c r="AL168" s="69"/>
    </row>
    <row r="169" spans="2:38" ht="12" customHeight="1" thickBot="1" x14ac:dyDescent="0.25">
      <c r="F169" s="7"/>
      <c r="G169" s="7"/>
      <c r="H169" s="47"/>
      <c r="I169" s="4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</row>
    <row r="170" spans="2:38" x14ac:dyDescent="0.2">
      <c r="B170" s="61" t="s">
        <v>96</v>
      </c>
      <c r="C170" s="62"/>
      <c r="D170" s="62"/>
      <c r="E170" s="62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  <c r="AH170" s="80"/>
      <c r="AI170" s="80"/>
      <c r="AJ170" s="80"/>
      <c r="AK170" s="80"/>
      <c r="AL170" s="63"/>
    </row>
    <row r="171" spans="2:38" ht="105" customHeight="1" x14ac:dyDescent="0.2">
      <c r="B171" s="64"/>
      <c r="F171" s="4" t="s">
        <v>39</v>
      </c>
      <c r="G171" s="4" t="s">
        <v>40</v>
      </c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65"/>
    </row>
    <row r="172" spans="2:38" ht="16.5" customHeight="1" x14ac:dyDescent="0.2">
      <c r="B172" s="66" t="s">
        <v>97</v>
      </c>
      <c r="D172" s="3" t="s">
        <v>77</v>
      </c>
      <c r="E172" s="3" t="s">
        <v>2</v>
      </c>
      <c r="F172" s="4" t="s">
        <v>6</v>
      </c>
      <c r="G172" s="4" t="s">
        <v>6</v>
      </c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65"/>
    </row>
    <row r="173" spans="2:38" ht="14.4" x14ac:dyDescent="0.3">
      <c r="B173" s="64"/>
      <c r="D173" s="2" t="s">
        <v>87</v>
      </c>
      <c r="E173" s="2" t="s">
        <v>88</v>
      </c>
      <c r="F173" s="81">
        <v>0.27100909927681183</v>
      </c>
      <c r="G173" s="82">
        <v>7.9168077963142222E-2</v>
      </c>
      <c r="H173" s="45">
        <v>10527.27481920293</v>
      </c>
      <c r="I173" s="45">
        <v>11472.070819202931</v>
      </c>
      <c r="J173" s="22">
        <v>75.658000000000015</v>
      </c>
      <c r="K173" s="22">
        <v>-7.28</v>
      </c>
      <c r="L173" s="22">
        <v>0.59</v>
      </c>
      <c r="M173" s="22">
        <v>1</v>
      </c>
      <c r="N173" s="22">
        <v>2.4699999999999989</v>
      </c>
      <c r="O173" s="22">
        <v>0.89999999999999902</v>
      </c>
      <c r="P173" s="22">
        <v>12.05</v>
      </c>
      <c r="Q173" s="22">
        <v>1.1299999999999999</v>
      </c>
      <c r="R173" s="22">
        <v>5.68</v>
      </c>
      <c r="S173" s="22">
        <v>3.61</v>
      </c>
      <c r="T173" s="22">
        <v>3.3</v>
      </c>
      <c r="U173" s="22">
        <v>4.2</v>
      </c>
      <c r="V173" s="22">
        <v>3.61</v>
      </c>
      <c r="W173" s="22">
        <v>7.67</v>
      </c>
      <c r="X173" s="22">
        <v>36.630000000000003</v>
      </c>
      <c r="Y173" s="22">
        <v>24.25</v>
      </c>
      <c r="Z173" s="22">
        <v>18.940000000000001</v>
      </c>
      <c r="AA173" s="22">
        <v>0.18705548981412101</v>
      </c>
      <c r="AB173" s="22">
        <v>8.4345373431652326E-2</v>
      </c>
      <c r="AC173" s="22">
        <v>6.0000000000000001E-3</v>
      </c>
      <c r="AD173" s="22">
        <v>1.2E-2</v>
      </c>
      <c r="AE173" s="22">
        <v>3.5000000000000003E-2</v>
      </c>
      <c r="AF173" s="22">
        <v>8.0000000000000002E-3</v>
      </c>
      <c r="AG173" s="22">
        <v>1.05</v>
      </c>
      <c r="AH173" s="22">
        <v>1.1499999999999999</v>
      </c>
      <c r="AI173" s="22">
        <v>1.49</v>
      </c>
      <c r="AJ173" s="22">
        <v>0</v>
      </c>
      <c r="AK173" s="35">
        <v>0</v>
      </c>
      <c r="AL173" s="65"/>
    </row>
    <row r="174" spans="2:38" ht="14.4" x14ac:dyDescent="0.3">
      <c r="B174" s="64"/>
      <c r="D174" s="2" t="s">
        <v>80</v>
      </c>
      <c r="E174" s="2" t="s">
        <v>75</v>
      </c>
      <c r="F174" s="83">
        <v>4.0167670350989297</v>
      </c>
      <c r="G174" s="84">
        <v>1.0267938808630259</v>
      </c>
      <c r="H174" s="47">
        <v>136891.75877473259</v>
      </c>
      <c r="I174" s="47">
        <v>151125.2587747325</v>
      </c>
      <c r="J174" s="7">
        <v>1440.0719999999999</v>
      </c>
      <c r="K174" s="7">
        <v>-223.2</v>
      </c>
      <c r="L174" s="7">
        <v>49.56</v>
      </c>
      <c r="M174" s="7">
        <v>0</v>
      </c>
      <c r="N174" s="7">
        <v>32.039999999999992</v>
      </c>
      <c r="O174" s="7">
        <v>12.59999999999998</v>
      </c>
      <c r="P174" s="7">
        <v>191.52</v>
      </c>
      <c r="Q174" s="7">
        <v>11.88</v>
      </c>
      <c r="R174" s="7">
        <v>100.8</v>
      </c>
      <c r="S174" s="7">
        <v>30.96</v>
      </c>
      <c r="T174" s="7">
        <v>35.64</v>
      </c>
      <c r="U174" s="7">
        <v>47.88</v>
      </c>
      <c r="V174" s="7">
        <v>42.84</v>
      </c>
      <c r="W174" s="7">
        <v>109.08</v>
      </c>
      <c r="X174" s="7">
        <v>480.24</v>
      </c>
      <c r="Y174" s="7">
        <v>270.72000000000003</v>
      </c>
      <c r="Z174" s="7">
        <v>324.72000000000003</v>
      </c>
      <c r="AA174" s="7">
        <v>1.430893183710308</v>
      </c>
      <c r="AB174" s="7">
        <v>0.65121782882047852</v>
      </c>
      <c r="AC174" s="7">
        <v>0.08</v>
      </c>
      <c r="AD174" s="7">
        <v>0.16</v>
      </c>
      <c r="AE174" s="7">
        <v>0.54</v>
      </c>
      <c r="AF174" s="7">
        <v>0.3</v>
      </c>
      <c r="AG174" s="7">
        <v>11</v>
      </c>
      <c r="AH174" s="7">
        <v>13</v>
      </c>
      <c r="AI174" s="7">
        <v>9</v>
      </c>
      <c r="AJ174" s="7">
        <v>0</v>
      </c>
      <c r="AK174" s="37">
        <v>0</v>
      </c>
      <c r="AL174" s="65"/>
    </row>
    <row r="175" spans="2:38" ht="14.4" x14ac:dyDescent="0.3">
      <c r="B175" s="64"/>
      <c r="D175" s="2" t="s">
        <v>89</v>
      </c>
      <c r="E175" s="2" t="s">
        <v>90</v>
      </c>
      <c r="F175" s="85">
        <v>2.1444471880799899E-7</v>
      </c>
      <c r="G175" s="86">
        <v>5.1104720486399963E-7</v>
      </c>
      <c r="H175" s="17">
        <v>5.361117970199987E-2</v>
      </c>
      <c r="I175" s="17">
        <v>8.114148681599978E-2</v>
      </c>
      <c r="J175" s="17">
        <v>7.770052399999999E-4</v>
      </c>
      <c r="K175" s="17">
        <v>0</v>
      </c>
      <c r="L175" s="17">
        <v>0</v>
      </c>
      <c r="M175" s="17">
        <v>0</v>
      </c>
      <c r="N175" s="17">
        <v>5.2399999999999999E-8</v>
      </c>
      <c r="O175" s="17">
        <v>1.089999999952251E-9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1.3699999999999999E-3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8">
        <v>0</v>
      </c>
      <c r="AL175" s="65"/>
    </row>
    <row r="176" spans="2:38" ht="12" customHeight="1" thickBot="1" x14ac:dyDescent="0.25">
      <c r="B176" s="67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  <c r="AB176" s="68"/>
      <c r="AC176" s="68"/>
      <c r="AD176" s="68"/>
      <c r="AE176" s="68"/>
      <c r="AF176" s="68"/>
      <c r="AG176" s="68"/>
      <c r="AH176" s="68"/>
      <c r="AI176" s="68"/>
      <c r="AJ176" s="68"/>
      <c r="AK176" s="68"/>
      <c r="AL176" s="69"/>
    </row>
  </sheetData>
  <conditionalFormatting sqref="F31:AK62 F66:AK73 H74:L75 K74:AK83 F75:L77 F84:AK86 K87:AK88">
    <cfRule type="cellIs" dxfId="2" priority="4" operator="equal">
      <formula>0</formula>
    </cfRule>
  </conditionalFormatting>
  <conditionalFormatting sqref="F92:AK123">
    <cfRule type="cellIs" dxfId="1" priority="2" operator="equal">
      <formula>0</formula>
    </cfRule>
  </conditionalFormatting>
  <conditionalFormatting sqref="F126:AK157">
    <cfRule type="cellIs" dxfId="0" priority="1" operator="equal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/>
  </sheetPr>
  <dimension ref="A1:AF38"/>
  <sheetViews>
    <sheetView tabSelected="1" topLeftCell="A4" zoomScale="70" zoomScaleNormal="70" workbookViewId="0">
      <selection activeCell="D37" sqref="D37"/>
    </sheetView>
  </sheetViews>
  <sheetFormatPr defaultColWidth="9.109375" defaultRowHeight="14.4" x14ac:dyDescent="0.3"/>
  <cols>
    <col min="1" max="1" width="16.5546875" style="2" customWidth="1"/>
    <col min="2" max="2" width="9.109375" style="2" customWidth="1"/>
    <col min="3" max="3" width="12" style="2" bestFit="1" customWidth="1"/>
    <col min="4" max="4" width="12.6640625" style="2" bestFit="1" customWidth="1"/>
    <col min="5" max="8" width="9.109375" style="2" customWidth="1"/>
    <col min="9" max="9" width="10.5546875" style="2" bestFit="1" customWidth="1"/>
    <col min="10" max="10" width="9.33203125" style="2" bestFit="1" customWidth="1"/>
    <col min="11" max="11" width="9.109375" style="2" customWidth="1"/>
    <col min="12" max="15" width="9.109375" style="2"/>
    <col min="16" max="16" width="40" customWidth="1"/>
    <col min="17" max="16384" width="9.109375" style="2"/>
  </cols>
  <sheetData>
    <row r="1" spans="1:32" ht="15" customHeight="1" x14ac:dyDescent="0.3">
      <c r="C1" s="108" t="s">
        <v>112</v>
      </c>
      <c r="D1" s="109"/>
      <c r="E1" s="109"/>
      <c r="F1" s="109"/>
      <c r="G1" s="109"/>
      <c r="H1" s="110"/>
      <c r="I1" s="103" t="s">
        <v>113</v>
      </c>
      <c r="J1" s="104"/>
      <c r="K1" s="104"/>
      <c r="L1" s="104"/>
      <c r="M1" s="104"/>
      <c r="N1" s="104"/>
      <c r="P1" s="87" t="s">
        <v>114</v>
      </c>
      <c r="R1" s="103" t="s">
        <v>115</v>
      </c>
      <c r="S1" s="104"/>
      <c r="T1" s="104"/>
      <c r="U1" s="104"/>
      <c r="V1" s="104"/>
      <c r="W1" s="104"/>
      <c r="X1" s="104"/>
      <c r="Y1" s="103" t="s">
        <v>116</v>
      </c>
      <c r="Z1" s="104"/>
      <c r="AE1" s="103" t="s">
        <v>117</v>
      </c>
      <c r="AF1" s="104"/>
    </row>
    <row r="2" spans="1:32" x14ac:dyDescent="0.3">
      <c r="C2" s="105" t="s">
        <v>115</v>
      </c>
      <c r="D2" s="104"/>
      <c r="E2" s="103" t="s">
        <v>116</v>
      </c>
      <c r="F2" s="104"/>
      <c r="G2" s="106" t="s">
        <v>117</v>
      </c>
      <c r="H2" s="107"/>
      <c r="I2" s="103" t="s">
        <v>118</v>
      </c>
      <c r="J2" s="104"/>
      <c r="K2" s="103" t="s">
        <v>80</v>
      </c>
      <c r="L2" s="104"/>
      <c r="M2" s="103" t="s">
        <v>89</v>
      </c>
      <c r="N2" s="104"/>
      <c r="P2" s="88" t="s">
        <v>119</v>
      </c>
      <c r="R2" s="4"/>
      <c r="S2" s="4"/>
      <c r="T2" s="4"/>
      <c r="U2" s="4"/>
      <c r="V2" s="4"/>
      <c r="W2" s="4"/>
      <c r="X2" s="4"/>
    </row>
    <row r="3" spans="1:32" ht="108.75" customHeight="1" x14ac:dyDescent="0.3">
      <c r="C3" s="54" t="s">
        <v>39</v>
      </c>
      <c r="D3" s="4" t="s">
        <v>40</v>
      </c>
      <c r="E3" s="4" t="s">
        <v>39</v>
      </c>
      <c r="F3" s="4" t="s">
        <v>40</v>
      </c>
      <c r="G3" s="4" t="s">
        <v>39</v>
      </c>
      <c r="H3" s="55" t="s">
        <v>40</v>
      </c>
      <c r="I3" s="4" t="s">
        <v>39</v>
      </c>
      <c r="J3" s="4" t="s">
        <v>40</v>
      </c>
      <c r="K3" s="4" t="s">
        <v>39</v>
      </c>
      <c r="L3" s="4" t="s">
        <v>40</v>
      </c>
      <c r="M3" s="4" t="s">
        <v>39</v>
      </c>
      <c r="N3" s="4" t="s">
        <v>40</v>
      </c>
      <c r="P3" s="89" t="s">
        <v>120</v>
      </c>
      <c r="R3" s="4" t="s">
        <v>39</v>
      </c>
      <c r="S3" s="4" t="s">
        <v>121</v>
      </c>
      <c r="T3" s="4" t="s">
        <v>122</v>
      </c>
      <c r="U3" s="4" t="s">
        <v>123</v>
      </c>
      <c r="V3" s="4" t="s">
        <v>124</v>
      </c>
      <c r="W3" s="4" t="s">
        <v>125</v>
      </c>
      <c r="X3" s="4" t="s">
        <v>126</v>
      </c>
    </row>
    <row r="4" spans="1:32" ht="16.5" customHeight="1" x14ac:dyDescent="0.3">
      <c r="C4" s="54" t="s">
        <v>6</v>
      </c>
      <c r="D4" s="4" t="s">
        <v>6</v>
      </c>
      <c r="E4" s="4" t="s">
        <v>6</v>
      </c>
      <c r="F4" s="4" t="s">
        <v>6</v>
      </c>
      <c r="G4" s="4" t="s">
        <v>6</v>
      </c>
      <c r="H4" s="55" t="s">
        <v>6</v>
      </c>
      <c r="I4" s="4" t="s">
        <v>6</v>
      </c>
      <c r="J4" s="4" t="s">
        <v>6</v>
      </c>
      <c r="K4" s="4" t="s">
        <v>6</v>
      </c>
      <c r="L4" s="4" t="s">
        <v>6</v>
      </c>
      <c r="M4" s="4" t="s">
        <v>6</v>
      </c>
      <c r="N4" s="4" t="s">
        <v>6</v>
      </c>
      <c r="P4" s="90" t="s">
        <v>127</v>
      </c>
      <c r="R4" s="4" t="s">
        <v>6</v>
      </c>
      <c r="S4" s="4" t="s">
        <v>6</v>
      </c>
      <c r="T4" s="4" t="s">
        <v>6</v>
      </c>
      <c r="U4" s="4" t="s">
        <v>6</v>
      </c>
      <c r="V4" s="4" t="s">
        <v>6</v>
      </c>
      <c r="W4" s="4" t="s">
        <v>6</v>
      </c>
      <c r="X4" s="4" t="s">
        <v>6</v>
      </c>
    </row>
    <row r="5" spans="1:32" x14ac:dyDescent="0.3">
      <c r="A5" s="3" t="s">
        <v>72</v>
      </c>
      <c r="B5" s="3" t="s">
        <v>2</v>
      </c>
      <c r="C5" s="13"/>
      <c r="H5" s="14"/>
      <c r="P5" s="91" t="s">
        <v>128</v>
      </c>
    </row>
    <row r="6" spans="1:32" x14ac:dyDescent="0.3">
      <c r="A6" s="2" t="s">
        <v>39</v>
      </c>
      <c r="B6" s="2" t="s">
        <v>6</v>
      </c>
      <c r="C6" s="92">
        <v>187</v>
      </c>
      <c r="D6" s="57">
        <v>0</v>
      </c>
      <c r="E6" s="57">
        <v>0</v>
      </c>
      <c r="F6" s="57">
        <v>0</v>
      </c>
      <c r="G6" s="57">
        <v>0</v>
      </c>
      <c r="H6" s="58">
        <v>0</v>
      </c>
      <c r="I6" s="5">
        <v>0.69001373200755955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P6" s="93" t="s">
        <v>129</v>
      </c>
      <c r="R6" s="7">
        <v>187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</row>
    <row r="7" spans="1:32" x14ac:dyDescent="0.3">
      <c r="A7" s="2" t="s">
        <v>40</v>
      </c>
      <c r="B7" s="2" t="s">
        <v>6</v>
      </c>
      <c r="C7" s="56">
        <v>0</v>
      </c>
      <c r="D7" s="57">
        <v>0</v>
      </c>
      <c r="E7" s="57">
        <v>0</v>
      </c>
      <c r="F7" s="57">
        <v>0</v>
      </c>
      <c r="G7" s="57">
        <v>0</v>
      </c>
      <c r="H7" s="58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P7" s="94" t="s">
        <v>130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</row>
    <row r="8" spans="1:32" x14ac:dyDescent="0.3">
      <c r="A8" s="2" t="s">
        <v>41</v>
      </c>
      <c r="B8" s="2" t="s">
        <v>73</v>
      </c>
      <c r="C8" s="56">
        <v>0</v>
      </c>
      <c r="D8" s="57">
        <v>0</v>
      </c>
      <c r="E8" s="57">
        <v>0</v>
      </c>
      <c r="F8" s="57">
        <v>0</v>
      </c>
      <c r="G8" s="57">
        <v>0</v>
      </c>
      <c r="H8" s="58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</row>
    <row r="9" spans="1:32" x14ac:dyDescent="0.3">
      <c r="A9" s="2" t="s">
        <v>42</v>
      </c>
      <c r="B9" s="2" t="s">
        <v>73</v>
      </c>
      <c r="C9" s="56">
        <v>0</v>
      </c>
      <c r="D9" s="57">
        <v>0</v>
      </c>
      <c r="E9" s="57">
        <v>0</v>
      </c>
      <c r="F9" s="57">
        <v>0</v>
      </c>
      <c r="G9" s="57">
        <v>0</v>
      </c>
      <c r="H9" s="58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32" x14ac:dyDescent="0.3">
      <c r="A10" s="2" t="s">
        <v>43</v>
      </c>
      <c r="B10" s="2" t="s">
        <v>20</v>
      </c>
      <c r="C10" s="56">
        <v>0</v>
      </c>
      <c r="D10" s="95">
        <v>17.2896</v>
      </c>
      <c r="E10" s="57">
        <v>0</v>
      </c>
      <c r="F10" s="57">
        <v>33.436799999999998</v>
      </c>
      <c r="G10" s="57">
        <v>0</v>
      </c>
      <c r="H10" s="58">
        <v>22.08</v>
      </c>
      <c r="I10" s="5">
        <v>0</v>
      </c>
      <c r="J10" s="5">
        <v>6.3797119897956708E-2</v>
      </c>
      <c r="K10" s="5">
        <v>0</v>
      </c>
      <c r="L10" s="5">
        <v>8.3243065151216752E-2</v>
      </c>
      <c r="M10" s="5">
        <v>0</v>
      </c>
      <c r="N10" s="5">
        <v>4.3205402142598451E-2</v>
      </c>
      <c r="R10" s="7">
        <v>0</v>
      </c>
      <c r="S10" s="7">
        <v>17.2896</v>
      </c>
      <c r="T10" s="7">
        <v>17.2896</v>
      </c>
      <c r="U10" s="7">
        <v>17.2896</v>
      </c>
      <c r="V10" s="7">
        <v>17.2896</v>
      </c>
      <c r="W10" s="7">
        <v>17.2896</v>
      </c>
      <c r="X10" s="7">
        <v>17.2896</v>
      </c>
    </row>
    <row r="11" spans="1:32" x14ac:dyDescent="0.3">
      <c r="A11" s="2" t="s">
        <v>44</v>
      </c>
      <c r="B11" s="2" t="s">
        <v>20</v>
      </c>
      <c r="C11" s="56">
        <v>0</v>
      </c>
      <c r="D11" s="95">
        <v>-1.7472000000000001</v>
      </c>
      <c r="E11" s="57">
        <v>0</v>
      </c>
      <c r="F11" s="57">
        <v>-5.3568000000000007</v>
      </c>
      <c r="G11" s="57">
        <v>0</v>
      </c>
      <c r="H11" s="58">
        <v>0</v>
      </c>
      <c r="I11" s="5">
        <v>0</v>
      </c>
      <c r="J11" s="5">
        <v>-6.4470160030139466E-3</v>
      </c>
      <c r="K11" s="5">
        <v>0</v>
      </c>
      <c r="L11" s="5">
        <v>-1.3336098292959789E-2</v>
      </c>
      <c r="M11" s="5">
        <v>0</v>
      </c>
      <c r="N11" s="5">
        <v>0</v>
      </c>
      <c r="R11" s="7">
        <v>0</v>
      </c>
      <c r="S11" s="7">
        <v>-1.7472000000000001</v>
      </c>
      <c r="T11" s="7">
        <v>-1.7472000000000001</v>
      </c>
      <c r="U11" s="7">
        <v>-1.7472000000000001</v>
      </c>
      <c r="V11" s="7">
        <v>-1.7472000000000001</v>
      </c>
      <c r="W11" s="7">
        <v>-1.7472000000000001</v>
      </c>
      <c r="X11" s="7">
        <v>-1.7472000000000001</v>
      </c>
    </row>
    <row r="12" spans="1:32" x14ac:dyDescent="0.3">
      <c r="A12" s="2" t="s">
        <v>45</v>
      </c>
      <c r="B12" s="2" t="s">
        <v>74</v>
      </c>
      <c r="C12" s="96">
        <v>41.3</v>
      </c>
      <c r="D12" s="57">
        <v>0</v>
      </c>
      <c r="E12" s="57">
        <v>346.92</v>
      </c>
      <c r="F12" s="57">
        <v>0</v>
      </c>
      <c r="G12" s="57">
        <v>0</v>
      </c>
      <c r="H12" s="58">
        <v>0</v>
      </c>
      <c r="I12" s="5">
        <v>0.15239340712252519</v>
      </c>
      <c r="J12" s="5">
        <v>0</v>
      </c>
      <c r="K12" s="5">
        <v>0.86367966319325162</v>
      </c>
      <c r="L12" s="5">
        <v>0</v>
      </c>
      <c r="M12" s="5">
        <v>0</v>
      </c>
      <c r="N12" s="5">
        <v>0</v>
      </c>
      <c r="R12" s="7">
        <v>41.3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32" x14ac:dyDescent="0.3">
      <c r="A13" s="2" t="s">
        <v>46</v>
      </c>
      <c r="B13" s="2" t="s">
        <v>22</v>
      </c>
      <c r="C13" s="97">
        <v>0.6</v>
      </c>
      <c r="D13" s="57">
        <v>0</v>
      </c>
      <c r="E13" s="57">
        <v>0</v>
      </c>
      <c r="F13" s="57">
        <v>0</v>
      </c>
      <c r="G13" s="57">
        <v>0</v>
      </c>
      <c r="H13" s="58">
        <v>0</v>
      </c>
      <c r="I13" s="5">
        <v>2.213947803232811E-3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R13" s="7">
        <v>0.6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32" x14ac:dyDescent="0.3">
      <c r="A14" s="2" t="s">
        <v>47</v>
      </c>
      <c r="B14" s="2" t="s">
        <v>17</v>
      </c>
      <c r="C14" s="98">
        <v>8.2972239999999786</v>
      </c>
      <c r="D14" s="99">
        <v>7.1096479999999724</v>
      </c>
      <c r="E14" s="57">
        <v>10.762876799999971</v>
      </c>
      <c r="F14" s="57">
        <v>9.2223935999999647</v>
      </c>
      <c r="G14" s="57">
        <v>0.1760220799999995</v>
      </c>
      <c r="H14" s="58">
        <v>0.15082815999999941</v>
      </c>
      <c r="I14" s="5">
        <v>3.0616034746217519E-2</v>
      </c>
      <c r="J14" s="5">
        <v>2.6233982618930819E-2</v>
      </c>
      <c r="K14" s="5">
        <v>2.6794874350324099E-2</v>
      </c>
      <c r="L14" s="5">
        <v>2.295974229875351E-2</v>
      </c>
      <c r="M14" s="5">
        <v>3.4443409204604241E-4</v>
      </c>
      <c r="N14" s="5">
        <v>2.9513547587084043E-4</v>
      </c>
      <c r="R14" s="7">
        <v>8.2972239999999786</v>
      </c>
      <c r="S14" s="7">
        <v>7.1096479999999724</v>
      </c>
      <c r="T14" s="7">
        <v>7.1096479999999724</v>
      </c>
      <c r="U14" s="7">
        <v>7.1096479999999724</v>
      </c>
      <c r="V14" s="7">
        <v>7.1096479999999724</v>
      </c>
      <c r="W14" s="7">
        <v>7.1096479999999724</v>
      </c>
      <c r="X14" s="7">
        <v>7.1096479999999724</v>
      </c>
    </row>
    <row r="15" spans="1:32" x14ac:dyDescent="0.3">
      <c r="A15" s="2" t="s">
        <v>48</v>
      </c>
      <c r="B15" s="2" t="s">
        <v>17</v>
      </c>
      <c r="C15" s="98">
        <v>0.57527999999999913</v>
      </c>
      <c r="D15" s="99">
        <v>0.31103999999999737</v>
      </c>
      <c r="E15" s="57">
        <v>0.80539199999999866</v>
      </c>
      <c r="F15" s="57">
        <v>0.4354559999999964</v>
      </c>
      <c r="G15" s="57">
        <v>6.9672799999999889E-4</v>
      </c>
      <c r="H15" s="58">
        <v>3.7670399999999691E-4</v>
      </c>
      <c r="I15" s="5">
        <v>2.122733153739616E-3</v>
      </c>
      <c r="J15" s="5">
        <v>1.1477105411958799E-3</v>
      </c>
      <c r="K15" s="5">
        <v>2.005075208401182E-3</v>
      </c>
      <c r="L15" s="5">
        <v>1.084095732201884E-3</v>
      </c>
      <c r="M15" s="5">
        <v>1.363333941304723E-6</v>
      </c>
      <c r="N15" s="5">
        <v>7.3712173046763011E-7</v>
      </c>
      <c r="R15" s="7">
        <v>0.57527999999999913</v>
      </c>
      <c r="S15" s="7">
        <v>0.31103999999999737</v>
      </c>
      <c r="T15" s="7">
        <v>0.31103999999999737</v>
      </c>
      <c r="U15" s="7">
        <v>0.31103999999999737</v>
      </c>
      <c r="V15" s="7">
        <v>0.31103999999999737</v>
      </c>
      <c r="W15" s="7">
        <v>0.31103999999999737</v>
      </c>
      <c r="X15" s="7">
        <v>0.31103999999999737</v>
      </c>
    </row>
    <row r="16" spans="1:32" x14ac:dyDescent="0.3">
      <c r="A16" s="2" t="s">
        <v>49</v>
      </c>
      <c r="B16" s="2" t="s">
        <v>17</v>
      </c>
      <c r="C16" s="98">
        <v>9.7508599999999586</v>
      </c>
      <c r="D16" s="99">
        <v>12.70551999999998</v>
      </c>
      <c r="E16" s="57">
        <v>15.49779839999993</v>
      </c>
      <c r="F16" s="57">
        <v>20.193868799999969</v>
      </c>
      <c r="G16" s="57">
        <v>0</v>
      </c>
      <c r="H16" s="58">
        <v>0</v>
      </c>
      <c r="I16" s="5">
        <v>3.5979825127717663E-2</v>
      </c>
      <c r="J16" s="5">
        <v>4.6882263488217508E-2</v>
      </c>
      <c r="K16" s="5">
        <v>3.8582766350596272E-2</v>
      </c>
      <c r="L16" s="5">
        <v>5.0273935788518062E-2</v>
      </c>
      <c r="M16" s="5">
        <v>0</v>
      </c>
      <c r="N16" s="5">
        <v>0</v>
      </c>
      <c r="R16" s="7">
        <v>9.7508599999999586</v>
      </c>
      <c r="S16" s="7">
        <v>12.70551999999998</v>
      </c>
      <c r="T16" s="7">
        <v>12.70551999999998</v>
      </c>
      <c r="U16" s="7">
        <v>12.70551999999998</v>
      </c>
      <c r="V16" s="7">
        <v>12.70551999999998</v>
      </c>
      <c r="W16" s="7">
        <v>12.70551999999998</v>
      </c>
      <c r="X16" s="7">
        <v>12.70551999999998</v>
      </c>
    </row>
    <row r="17" spans="1:24" x14ac:dyDescent="0.3">
      <c r="A17" s="2" t="s">
        <v>50</v>
      </c>
      <c r="B17" s="2" t="s">
        <v>17</v>
      </c>
      <c r="C17" s="98">
        <v>0.16904799999999939</v>
      </c>
      <c r="D17" s="99">
        <v>0.1735679999999995</v>
      </c>
      <c r="E17" s="57">
        <v>0.17772479999999941</v>
      </c>
      <c r="F17" s="57">
        <v>0.18247679999999949</v>
      </c>
      <c r="G17" s="57">
        <v>0</v>
      </c>
      <c r="H17" s="58">
        <v>0</v>
      </c>
      <c r="I17" s="5">
        <v>6.2377241373483174E-4</v>
      </c>
      <c r="J17" s="5">
        <v>6.4045082051918578E-4</v>
      </c>
      <c r="K17" s="5">
        <v>4.4245732562287409E-4</v>
      </c>
      <c r="L17" s="5">
        <v>4.5428773539888702E-4</v>
      </c>
      <c r="M17" s="5">
        <v>0</v>
      </c>
      <c r="N17" s="5">
        <v>0</v>
      </c>
      <c r="R17" s="7">
        <v>0.16904799999999939</v>
      </c>
      <c r="S17" s="7">
        <v>0.1735679999999995</v>
      </c>
      <c r="T17" s="7">
        <v>0.1735679999999995</v>
      </c>
      <c r="U17" s="7">
        <v>0.1735679999999995</v>
      </c>
      <c r="V17" s="7">
        <v>0.1735679999999995</v>
      </c>
      <c r="W17" s="7">
        <v>0.1735679999999995</v>
      </c>
      <c r="X17" s="7">
        <v>0.1735679999999995</v>
      </c>
    </row>
    <row r="18" spans="1:24" x14ac:dyDescent="0.3">
      <c r="A18" s="2" t="s">
        <v>51</v>
      </c>
      <c r="B18" s="2" t="s">
        <v>17</v>
      </c>
      <c r="C18" s="98">
        <v>0.15449599999999961</v>
      </c>
      <c r="D18" s="99">
        <v>0.14540799999999959</v>
      </c>
      <c r="E18" s="57">
        <v>0.2741759999999992</v>
      </c>
      <c r="F18" s="57">
        <v>0.25804799999999922</v>
      </c>
      <c r="G18" s="57">
        <v>0</v>
      </c>
      <c r="H18" s="58">
        <v>0</v>
      </c>
      <c r="I18" s="5">
        <v>5.700767996804257E-4</v>
      </c>
      <c r="J18" s="5">
        <v>5.3654287028745949E-4</v>
      </c>
      <c r="K18" s="5">
        <v>6.8257879434933781E-4</v>
      </c>
      <c r="L18" s="5">
        <v>6.4242710056408255E-4</v>
      </c>
      <c r="M18" s="5">
        <v>0</v>
      </c>
      <c r="N18" s="5">
        <v>0</v>
      </c>
      <c r="R18" s="7">
        <v>0.15449599999999961</v>
      </c>
      <c r="S18" s="7">
        <v>0.14540799999999959</v>
      </c>
      <c r="T18" s="7">
        <v>0.14540799999999959</v>
      </c>
      <c r="U18" s="7">
        <v>0.14540799999999959</v>
      </c>
      <c r="V18" s="7">
        <v>0.14540799999999959</v>
      </c>
      <c r="W18" s="7">
        <v>0.14540799999999959</v>
      </c>
      <c r="X18" s="7">
        <v>0.14540799999999959</v>
      </c>
    </row>
    <row r="19" spans="1:24" x14ac:dyDescent="0.3">
      <c r="A19" s="2" t="s">
        <v>52</v>
      </c>
      <c r="B19" s="2" t="s">
        <v>17</v>
      </c>
      <c r="C19" s="98">
        <v>2.7002799999999918</v>
      </c>
      <c r="D19" s="99">
        <v>2.7667039999999932</v>
      </c>
      <c r="E19" s="57">
        <v>2.315807999999993</v>
      </c>
      <c r="F19" s="57">
        <v>2.3727743999999942</v>
      </c>
      <c r="G19" s="57">
        <v>0</v>
      </c>
      <c r="H19" s="58">
        <v>0</v>
      </c>
      <c r="I19" s="5">
        <v>9.9637982901891291E-3</v>
      </c>
      <c r="J19" s="5">
        <v>1.0208897071659029E-2</v>
      </c>
      <c r="K19" s="5">
        <v>5.7653530308435126E-3</v>
      </c>
      <c r="L19" s="5">
        <v>5.9071745492492922E-3</v>
      </c>
      <c r="M19" s="5">
        <v>0</v>
      </c>
      <c r="N19" s="5">
        <v>0</v>
      </c>
      <c r="R19" s="7">
        <v>2.7002799999999918</v>
      </c>
      <c r="S19" s="7">
        <v>2.7667039999999932</v>
      </c>
      <c r="T19" s="7">
        <v>2.7667039999999932</v>
      </c>
      <c r="U19" s="7">
        <v>2.7667039999999932</v>
      </c>
      <c r="V19" s="7">
        <v>2.7667039999999932</v>
      </c>
      <c r="W19" s="7">
        <v>2.7667039999999932</v>
      </c>
      <c r="X19" s="7">
        <v>2.7667039999999932</v>
      </c>
    </row>
    <row r="20" spans="1:24" x14ac:dyDescent="0.3">
      <c r="A20" s="2" t="s">
        <v>53</v>
      </c>
      <c r="B20" s="2" t="s">
        <v>17</v>
      </c>
      <c r="C20" s="98">
        <v>0.83027999999999735</v>
      </c>
      <c r="D20" s="99">
        <v>0.84479999999999755</v>
      </c>
      <c r="E20" s="57">
        <v>0.89670239999999724</v>
      </c>
      <c r="F20" s="57">
        <v>0.91238399999999753</v>
      </c>
      <c r="G20" s="57">
        <v>0</v>
      </c>
      <c r="H20" s="58">
        <v>0</v>
      </c>
      <c r="I20" s="5">
        <v>3.0636609701135539E-3</v>
      </c>
      <c r="J20" s="5">
        <v>3.1172385069517892E-3</v>
      </c>
      <c r="K20" s="5">
        <v>2.2323983247335929E-3</v>
      </c>
      <c r="L20" s="5">
        <v>2.271438676994436E-3</v>
      </c>
      <c r="M20" s="5">
        <v>0</v>
      </c>
      <c r="N20" s="5">
        <v>0</v>
      </c>
      <c r="R20" s="7">
        <v>0.83027999999999735</v>
      </c>
      <c r="S20" s="7">
        <v>0.84479999999999755</v>
      </c>
      <c r="T20" s="7">
        <v>0.84479999999999755</v>
      </c>
      <c r="U20" s="7">
        <v>0.84479999999999755</v>
      </c>
      <c r="V20" s="7">
        <v>0.84479999999999755</v>
      </c>
      <c r="W20" s="7">
        <v>0.84479999999999755</v>
      </c>
      <c r="X20" s="7">
        <v>0.84479999999999755</v>
      </c>
    </row>
    <row r="21" spans="1:24" x14ac:dyDescent="0.3">
      <c r="A21" s="2" t="s">
        <v>54</v>
      </c>
      <c r="B21" s="2" t="s">
        <v>17</v>
      </c>
      <c r="C21" s="98">
        <v>0.25703999999999971</v>
      </c>
      <c r="D21" s="99">
        <v>0.10751999999999901</v>
      </c>
      <c r="E21" s="57">
        <v>0.29302559999999972</v>
      </c>
      <c r="F21" s="57">
        <v>0.1225727999999988</v>
      </c>
      <c r="G21" s="57">
        <v>0</v>
      </c>
      <c r="H21" s="58">
        <v>0</v>
      </c>
      <c r="I21" s="5">
        <v>9.4845523890493529E-4</v>
      </c>
      <c r="J21" s="5">
        <v>3.96739446339316E-4</v>
      </c>
      <c r="K21" s="5">
        <v>7.2950608646085626E-4</v>
      </c>
      <c r="L21" s="5">
        <v>3.0515287276793729E-4</v>
      </c>
      <c r="M21" s="5">
        <v>0</v>
      </c>
      <c r="N21" s="5">
        <v>0</v>
      </c>
      <c r="R21" s="7">
        <v>0.25703999999999971</v>
      </c>
      <c r="S21" s="7">
        <v>0.10751999999999901</v>
      </c>
      <c r="T21" s="7">
        <v>0.10751999999999901</v>
      </c>
      <c r="U21" s="7">
        <v>0.10751999999999901</v>
      </c>
      <c r="V21" s="7">
        <v>0.10751999999999901</v>
      </c>
      <c r="W21" s="7">
        <v>0.10751999999999901</v>
      </c>
      <c r="X21" s="7">
        <v>0.10751999999999901</v>
      </c>
    </row>
    <row r="22" spans="1:24" x14ac:dyDescent="0.3">
      <c r="A22" s="2" t="s">
        <v>55</v>
      </c>
      <c r="B22" s="2" t="s">
        <v>17</v>
      </c>
      <c r="C22" s="98">
        <v>0.56460399999999733</v>
      </c>
      <c r="D22" s="99">
        <v>1.288047999999999</v>
      </c>
      <c r="E22" s="57">
        <v>0.67001759999999688</v>
      </c>
      <c r="F22" s="57">
        <v>1.5285311999999991</v>
      </c>
      <c r="G22" s="57">
        <v>214.26799999999901</v>
      </c>
      <c r="H22" s="58">
        <v>488.81599999999958</v>
      </c>
      <c r="I22" s="5">
        <v>2.083339642494087E-3</v>
      </c>
      <c r="J22" s="5">
        <v>4.752785066764023E-3</v>
      </c>
      <c r="K22" s="5">
        <v>1.668051928691191E-3</v>
      </c>
      <c r="L22" s="5">
        <v>3.8053767784975668E-3</v>
      </c>
      <c r="M22" s="5">
        <v>0.41927242329213049</v>
      </c>
      <c r="N22" s="5">
        <v>0.95649872525980018</v>
      </c>
      <c r="R22" s="7">
        <v>0.56460399999999733</v>
      </c>
      <c r="S22" s="7">
        <v>1.288047999999999</v>
      </c>
      <c r="T22" s="7">
        <v>1.288047999999999</v>
      </c>
      <c r="U22" s="7">
        <v>1.288047999999999</v>
      </c>
      <c r="V22" s="7">
        <v>1.288047999999999</v>
      </c>
      <c r="W22" s="7">
        <v>1.288047999999999</v>
      </c>
      <c r="X22" s="7">
        <v>1.288047999999999</v>
      </c>
    </row>
    <row r="23" spans="1:24" x14ac:dyDescent="0.3">
      <c r="A23" s="2" t="s">
        <v>56</v>
      </c>
      <c r="B23" s="2" t="s">
        <v>17</v>
      </c>
      <c r="C23" s="98">
        <v>0.2086239999999972</v>
      </c>
      <c r="D23" s="99">
        <v>0.78540800000000111</v>
      </c>
      <c r="E23" s="57">
        <v>0.29669759999999612</v>
      </c>
      <c r="F23" s="57">
        <v>1.1169792000000021</v>
      </c>
      <c r="G23" s="57">
        <v>0</v>
      </c>
      <c r="H23" s="58">
        <v>0</v>
      </c>
      <c r="I23" s="5">
        <v>7.6980441083605985E-4</v>
      </c>
      <c r="J23" s="5">
        <v>2.8980871937357971E-3</v>
      </c>
      <c r="K23" s="5">
        <v>7.3864776674231161E-4</v>
      </c>
      <c r="L23" s="5">
        <v>2.7807915924416842E-3</v>
      </c>
      <c r="M23" s="5">
        <v>0</v>
      </c>
      <c r="N23" s="5">
        <v>0</v>
      </c>
      <c r="R23" s="7">
        <v>0.2086239999999972</v>
      </c>
      <c r="S23" s="7">
        <v>0.78540800000000111</v>
      </c>
      <c r="T23" s="7">
        <v>0.78540800000000111</v>
      </c>
      <c r="U23" s="7">
        <v>0.78540800000000111</v>
      </c>
      <c r="V23" s="7">
        <v>0.78540800000000111</v>
      </c>
      <c r="W23" s="7">
        <v>0.78540800000000111</v>
      </c>
      <c r="X23" s="7">
        <v>0.78540800000000111</v>
      </c>
    </row>
    <row r="24" spans="1:24" x14ac:dyDescent="0.3">
      <c r="A24" s="2" t="s">
        <v>57</v>
      </c>
      <c r="B24" s="2" t="s">
        <v>17</v>
      </c>
      <c r="C24" s="98">
        <v>11.706947999999951</v>
      </c>
      <c r="D24" s="99">
        <v>13.36262399999997</v>
      </c>
      <c r="E24" s="57">
        <v>15.34847039999994</v>
      </c>
      <c r="F24" s="57">
        <v>17.519155199999961</v>
      </c>
      <c r="G24" s="57">
        <v>0</v>
      </c>
      <c r="H24" s="58">
        <v>0</v>
      </c>
      <c r="I24" s="5">
        <v>4.3197619678601078E-2</v>
      </c>
      <c r="J24" s="5">
        <v>4.9306920083709953E-2</v>
      </c>
      <c r="K24" s="5">
        <v>3.8211004685816737E-2</v>
      </c>
      <c r="L24" s="5">
        <v>4.3615064172046199E-2</v>
      </c>
      <c r="M24" s="5">
        <v>0</v>
      </c>
      <c r="N24" s="5">
        <v>0</v>
      </c>
      <c r="R24" s="7">
        <v>11.706947999999951</v>
      </c>
      <c r="S24" s="7">
        <v>13.36262399999997</v>
      </c>
      <c r="T24" s="7">
        <v>13.36262399999997</v>
      </c>
      <c r="U24" s="7">
        <v>13.36262399999997</v>
      </c>
      <c r="V24" s="7">
        <v>13.36262399999997</v>
      </c>
      <c r="W24" s="7">
        <v>13.36262399999997</v>
      </c>
      <c r="X24" s="7">
        <v>13.36262399999997</v>
      </c>
    </row>
    <row r="25" spans="1:24" x14ac:dyDescent="0.3">
      <c r="A25" s="2" t="s">
        <v>58</v>
      </c>
      <c r="B25" s="2" t="s">
        <v>17</v>
      </c>
      <c r="C25" s="98">
        <v>6.1012999999999789</v>
      </c>
      <c r="D25" s="99">
        <v>6.3631999999999822</v>
      </c>
      <c r="E25" s="57">
        <v>6.811315199999977</v>
      </c>
      <c r="F25" s="57">
        <v>7.1036927999999806</v>
      </c>
      <c r="G25" s="57">
        <v>0</v>
      </c>
      <c r="H25" s="58">
        <v>0</v>
      </c>
      <c r="I25" s="5">
        <v>2.2513266219773839E-2</v>
      </c>
      <c r="J25" s="5">
        <v>2.347965443588498E-2</v>
      </c>
      <c r="K25" s="5">
        <v>1.6957207476764252E-2</v>
      </c>
      <c r="L25" s="5">
        <v>1.7685100325528391E-2</v>
      </c>
      <c r="M25" s="5">
        <v>0</v>
      </c>
      <c r="N25" s="5">
        <v>0</v>
      </c>
      <c r="R25" s="7">
        <v>6.1012999999999789</v>
      </c>
      <c r="S25" s="7">
        <v>6.3631999999999822</v>
      </c>
      <c r="T25" s="7">
        <v>6.3631999999999822</v>
      </c>
      <c r="U25" s="7">
        <v>6.3631999999999822</v>
      </c>
      <c r="V25" s="7">
        <v>6.3631999999999822</v>
      </c>
      <c r="W25" s="7">
        <v>6.3631999999999822</v>
      </c>
      <c r="X25" s="7">
        <v>6.3631999999999822</v>
      </c>
    </row>
    <row r="26" spans="1:24" x14ac:dyDescent="0.3">
      <c r="A26" s="2" t="s">
        <v>59</v>
      </c>
      <c r="B26" s="2" t="s">
        <v>17</v>
      </c>
      <c r="C26" s="56">
        <v>0</v>
      </c>
      <c r="D26" s="57">
        <v>0</v>
      </c>
      <c r="E26" s="57">
        <v>0</v>
      </c>
      <c r="F26" s="57">
        <v>0</v>
      </c>
      <c r="G26" s="57">
        <v>0</v>
      </c>
      <c r="H26" s="58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x14ac:dyDescent="0.3">
      <c r="A27" s="2" t="s">
        <v>60</v>
      </c>
      <c r="B27" s="2" t="s">
        <v>20</v>
      </c>
      <c r="C27" s="56">
        <v>0</v>
      </c>
      <c r="D27" s="57">
        <v>0</v>
      </c>
      <c r="E27" s="57">
        <v>0</v>
      </c>
      <c r="F27" s="57">
        <v>0</v>
      </c>
      <c r="G27" s="57">
        <v>0</v>
      </c>
      <c r="H27" s="58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x14ac:dyDescent="0.3">
      <c r="A28" s="2" t="s">
        <v>61</v>
      </c>
      <c r="B28" s="2" t="s">
        <v>20</v>
      </c>
      <c r="C28" s="56">
        <v>0</v>
      </c>
      <c r="D28" s="57">
        <v>0</v>
      </c>
      <c r="E28" s="57">
        <v>0</v>
      </c>
      <c r="F28" s="57">
        <v>0</v>
      </c>
      <c r="G28" s="57">
        <v>0</v>
      </c>
      <c r="H28" s="58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</row>
    <row r="29" spans="1:24" x14ac:dyDescent="0.3">
      <c r="A29" s="2" t="s">
        <v>62</v>
      </c>
      <c r="B29" s="2" t="s">
        <v>20</v>
      </c>
      <c r="C29" s="96">
        <v>0</v>
      </c>
      <c r="D29" s="100">
        <v>0.42137647304020498</v>
      </c>
      <c r="E29" s="57">
        <v>0</v>
      </c>
      <c r="F29" s="57">
        <v>0.56183529738694005</v>
      </c>
      <c r="G29" s="57">
        <v>0</v>
      </c>
      <c r="H29" s="58">
        <v>0</v>
      </c>
      <c r="I29" s="5">
        <v>0</v>
      </c>
      <c r="J29" s="5">
        <v>1.554842528035586E-3</v>
      </c>
      <c r="K29" s="5">
        <v>0</v>
      </c>
      <c r="L29" s="5">
        <v>1.3987251251505611E-3</v>
      </c>
      <c r="M29" s="5">
        <v>0</v>
      </c>
      <c r="N29" s="5">
        <v>0</v>
      </c>
      <c r="R29" s="7">
        <v>1.495755108426172E-3</v>
      </c>
      <c r="S29" s="7">
        <v>7.2050241354943936E-2</v>
      </c>
      <c r="T29" s="7">
        <v>0.78929159600621412</v>
      </c>
      <c r="U29" s="7">
        <v>0</v>
      </c>
      <c r="V29" s="7">
        <v>0.44976484558758201</v>
      </c>
      <c r="W29" s="7">
        <v>0</v>
      </c>
      <c r="X29" s="7">
        <v>0.42137647304020498</v>
      </c>
    </row>
    <row r="30" spans="1:24" x14ac:dyDescent="0.3">
      <c r="A30" s="2" t="s">
        <v>63</v>
      </c>
      <c r="B30" s="2" t="s">
        <v>20</v>
      </c>
      <c r="C30" s="96">
        <v>3.4216422908927249E-2</v>
      </c>
      <c r="D30" s="100">
        <v>0.99311428288306902</v>
      </c>
      <c r="E30" s="57">
        <v>4.5621897211902997E-2</v>
      </c>
      <c r="F30" s="57">
        <v>1.3241523771774251</v>
      </c>
      <c r="G30" s="57">
        <v>0</v>
      </c>
      <c r="H30" s="58">
        <v>0</v>
      </c>
      <c r="I30" s="5">
        <v>1.262556238895072E-4</v>
      </c>
      <c r="J30" s="5">
        <v>3.6645053082468319E-3</v>
      </c>
      <c r="K30" s="5">
        <v>1.1357864873231161E-4</v>
      </c>
      <c r="L30" s="5">
        <v>3.2965625479567111E-3</v>
      </c>
      <c r="M30" s="5">
        <v>0</v>
      </c>
      <c r="N30" s="5">
        <v>0</v>
      </c>
      <c r="R30" s="7">
        <v>9.5737576847821984E-3</v>
      </c>
      <c r="S30" s="7">
        <v>0.46116610130658531</v>
      </c>
      <c r="T30" s="7">
        <v>0.23819478417126211</v>
      </c>
      <c r="U30" s="7">
        <v>1.056895041611065</v>
      </c>
      <c r="V30" s="7">
        <v>0.91956872834536718</v>
      </c>
      <c r="W30" s="7">
        <v>1.64819863559418</v>
      </c>
      <c r="X30" s="7">
        <v>0.99311428288306902</v>
      </c>
    </row>
    <row r="31" spans="1:24" x14ac:dyDescent="0.3">
      <c r="A31" s="2" t="s">
        <v>64</v>
      </c>
      <c r="B31" s="2" t="s">
        <v>20</v>
      </c>
      <c r="C31" s="96">
        <v>2.5791286176808179E-2</v>
      </c>
      <c r="D31" s="100">
        <v>0.82418438411132766</v>
      </c>
      <c r="E31" s="57">
        <v>3.9792270101361188E-2</v>
      </c>
      <c r="F31" s="57">
        <v>1.2715987640574771</v>
      </c>
      <c r="G31" s="57">
        <v>0</v>
      </c>
      <c r="H31" s="58">
        <v>0</v>
      </c>
      <c r="I31" s="5">
        <v>9.5167602289488742E-5</v>
      </c>
      <c r="J31" s="5">
        <v>3.041168677770103E-3</v>
      </c>
      <c r="K31" s="5">
        <v>9.9065416922744525E-5</v>
      </c>
      <c r="L31" s="5">
        <v>3.1657269464375548E-3</v>
      </c>
      <c r="M31" s="5">
        <v>0</v>
      </c>
      <c r="N31" s="5">
        <v>0</v>
      </c>
      <c r="R31" s="7">
        <v>1.206302946919406E-2</v>
      </c>
      <c r="S31" s="7">
        <v>0.58107385348778362</v>
      </c>
      <c r="T31" s="7">
        <v>0.33497944089163129</v>
      </c>
      <c r="U31" s="7">
        <v>1.0371103658936871</v>
      </c>
      <c r="V31" s="7">
        <v>0.78002189101268893</v>
      </c>
      <c r="W31" s="7">
        <v>1.2423613888564431</v>
      </c>
      <c r="X31" s="7">
        <v>0.82418438411132766</v>
      </c>
    </row>
    <row r="32" spans="1:24" x14ac:dyDescent="0.3">
      <c r="A32" s="2" t="s">
        <v>65</v>
      </c>
      <c r="B32" s="2" t="s">
        <v>20</v>
      </c>
      <c r="C32" s="96">
        <v>1.038371186961754E-3</v>
      </c>
      <c r="D32" s="100">
        <v>0.13734517425100079</v>
      </c>
      <c r="E32" s="57">
        <v>3.8938919511065759E-3</v>
      </c>
      <c r="F32" s="57">
        <v>0.51504440344125313</v>
      </c>
      <c r="G32" s="57">
        <v>0</v>
      </c>
      <c r="H32" s="58">
        <v>0</v>
      </c>
      <c r="I32" s="5">
        <v>3.8314993471903689E-6</v>
      </c>
      <c r="J32" s="5">
        <v>5.0679174469605171E-4</v>
      </c>
      <c r="K32" s="5">
        <v>9.6940945717820858E-6</v>
      </c>
      <c r="L32" s="5">
        <v>1.2822361838282911E-3</v>
      </c>
      <c r="M32" s="5">
        <v>0</v>
      </c>
      <c r="N32" s="5">
        <v>0</v>
      </c>
      <c r="R32" s="7">
        <v>1.3800083805865729E-3</v>
      </c>
      <c r="S32" s="7">
        <v>6.647474331391566E-2</v>
      </c>
      <c r="T32" s="7">
        <v>0.18735553895412779</v>
      </c>
      <c r="U32" s="7">
        <v>6.6318259978313351E-2</v>
      </c>
      <c r="V32" s="7">
        <v>0.16317466032439301</v>
      </c>
      <c r="W32" s="7">
        <v>5.0018144156855952E-2</v>
      </c>
      <c r="X32" s="7">
        <v>0.13734517425100079</v>
      </c>
    </row>
    <row r="33" spans="1:24" x14ac:dyDescent="0.3">
      <c r="A33" s="2" t="s">
        <v>66</v>
      </c>
      <c r="B33" s="2" t="s">
        <v>20</v>
      </c>
      <c r="C33" s="96">
        <v>1.993448380654746E-2</v>
      </c>
      <c r="D33" s="100">
        <v>1.9934483806547471E-2</v>
      </c>
      <c r="E33" s="57">
        <v>2.0883744940192579E-2</v>
      </c>
      <c r="F33" s="57">
        <v>2.088374494019259E-2</v>
      </c>
      <c r="G33" s="57">
        <v>0</v>
      </c>
      <c r="H33" s="58">
        <v>0</v>
      </c>
      <c r="I33" s="5">
        <v>7.3556511053476351E-5</v>
      </c>
      <c r="J33" s="5">
        <v>7.3556511053476364E-5</v>
      </c>
      <c r="K33" s="5">
        <v>5.1991426830852357E-5</v>
      </c>
      <c r="L33" s="5">
        <v>5.1991426830852378E-5</v>
      </c>
      <c r="M33" s="5">
        <v>0</v>
      </c>
      <c r="N33" s="5">
        <v>0</v>
      </c>
      <c r="R33" s="7">
        <v>2.003316958131717</v>
      </c>
      <c r="S33" s="7">
        <v>96.499399888873356</v>
      </c>
      <c r="T33" s="7">
        <v>5.0699318304932834</v>
      </c>
      <c r="U33" s="7">
        <v>22.941109999127569</v>
      </c>
      <c r="V33" s="7">
        <v>0.4762549275181191</v>
      </c>
      <c r="W33" s="7">
        <v>0.96024032373803447</v>
      </c>
      <c r="X33" s="7">
        <v>1.9934483806547471E-2</v>
      </c>
    </row>
    <row r="34" spans="1:24" x14ac:dyDescent="0.3">
      <c r="A34" s="2" t="s">
        <v>67</v>
      </c>
      <c r="B34" s="2" t="s">
        <v>20</v>
      </c>
      <c r="C34" s="96">
        <v>0.1260589303981792</v>
      </c>
      <c r="D34" s="100">
        <v>1.360778927297859</v>
      </c>
      <c r="E34" s="57">
        <v>0.14250139958055039</v>
      </c>
      <c r="F34" s="57">
        <v>1.53827183085845</v>
      </c>
      <c r="G34" s="57">
        <v>0</v>
      </c>
      <c r="H34" s="58">
        <v>0</v>
      </c>
      <c r="I34" s="5">
        <v>4.6514648672154441E-4</v>
      </c>
      <c r="J34" s="5">
        <v>5.0211558612943286E-3</v>
      </c>
      <c r="K34" s="5">
        <v>3.5476640376541201E-4</v>
      </c>
      <c r="L34" s="5">
        <v>3.8296267057981448E-3</v>
      </c>
      <c r="M34" s="5">
        <v>0</v>
      </c>
      <c r="N34" s="5">
        <v>0</v>
      </c>
      <c r="R34" s="7">
        <v>0.63037797668939621</v>
      </c>
      <c r="S34" s="7">
        <v>30.36518819788742</v>
      </c>
      <c r="T34" s="7">
        <v>11.578711515002921</v>
      </c>
      <c r="U34" s="7">
        <v>41.093421480691987</v>
      </c>
      <c r="V34" s="7">
        <v>3.0789901139055882</v>
      </c>
      <c r="W34" s="7">
        <v>6.0722348925764589</v>
      </c>
      <c r="X34" s="7">
        <v>1.360778927297859</v>
      </c>
    </row>
    <row r="35" spans="1:24" x14ac:dyDescent="0.3">
      <c r="A35" s="2" t="s">
        <v>68</v>
      </c>
      <c r="B35" s="2" t="s">
        <v>20</v>
      </c>
      <c r="C35" s="96">
        <v>0.5860757823344469</v>
      </c>
      <c r="D35" s="100">
        <v>13.90545623775232</v>
      </c>
      <c r="E35" s="57">
        <v>0.35400550610805509</v>
      </c>
      <c r="F35" s="57">
        <v>8.3992688684410002</v>
      </c>
      <c r="G35" s="57">
        <v>0</v>
      </c>
      <c r="H35" s="58">
        <v>0</v>
      </c>
      <c r="I35" s="5">
        <v>2.1625686513788329E-3</v>
      </c>
      <c r="J35" s="5">
        <v>5.1309923817536247E-2</v>
      </c>
      <c r="K35" s="5">
        <v>8.8131948657892785E-4</v>
      </c>
      <c r="L35" s="5">
        <v>2.0910520314091689E-2</v>
      </c>
      <c r="M35" s="5">
        <v>0</v>
      </c>
      <c r="N35" s="5">
        <v>0</v>
      </c>
      <c r="R35" s="7">
        <v>0.32729285507422279</v>
      </c>
      <c r="S35" s="7">
        <v>15.76563507555648</v>
      </c>
      <c r="T35" s="7">
        <v>7.3823547145161568</v>
      </c>
      <c r="U35" s="7">
        <v>30.786111485778932</v>
      </c>
      <c r="V35" s="7">
        <v>10.18315755122569</v>
      </c>
      <c r="W35" s="7">
        <v>28.231159854714111</v>
      </c>
      <c r="X35" s="7">
        <v>13.90545623775232</v>
      </c>
    </row>
    <row r="36" spans="1:24" x14ac:dyDescent="0.3">
      <c r="A36" s="2" t="s">
        <v>69</v>
      </c>
      <c r="B36" s="2" t="s">
        <v>75</v>
      </c>
      <c r="C36" s="56">
        <v>0</v>
      </c>
      <c r="D36" s="57">
        <v>0</v>
      </c>
      <c r="E36" s="57">
        <v>0</v>
      </c>
      <c r="F36" s="57">
        <v>0</v>
      </c>
      <c r="G36" s="57">
        <v>0</v>
      </c>
      <c r="H36" s="58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3">
      <c r="A37" s="2" t="s">
        <v>70</v>
      </c>
      <c r="B37" s="2" t="s">
        <v>75</v>
      </c>
      <c r="C37" s="56">
        <v>0</v>
      </c>
      <c r="D37" s="57">
        <v>0</v>
      </c>
      <c r="E37" s="57">
        <v>0</v>
      </c>
      <c r="F37" s="57">
        <v>0</v>
      </c>
      <c r="G37" s="57">
        <v>0</v>
      </c>
      <c r="H37" s="58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3">
      <c r="A38" s="2" t="s">
        <v>131</v>
      </c>
      <c r="C38" s="101">
        <v>271.00909927681158</v>
      </c>
      <c r="D38" s="102">
        <v>79.168077963142224</v>
      </c>
      <c r="E38" s="59">
        <v>401.676703509893</v>
      </c>
      <c r="F38" s="59">
        <v>102.67938808630259</v>
      </c>
      <c r="G38" s="59">
        <v>214.44471880799901</v>
      </c>
      <c r="H38" s="60">
        <v>511.04720486399958</v>
      </c>
      <c r="I38" s="5">
        <v>1</v>
      </c>
      <c r="J38" s="5">
        <v>0.29212332048777112</v>
      </c>
      <c r="K38" s="5">
        <v>1</v>
      </c>
      <c r="L38" s="5">
        <v>0.25562694373131262</v>
      </c>
      <c r="M38" s="5">
        <v>0.41961822071811788</v>
      </c>
      <c r="N38" s="5">
        <v>1</v>
      </c>
      <c r="R38" s="7">
        <v>273.20148434053812</v>
      </c>
      <c r="S38" s="7">
        <v>205.31687610178039</v>
      </c>
      <c r="T38" s="7">
        <v>87.086707420035495</v>
      </c>
      <c r="U38" s="7">
        <v>158.48685463308141</v>
      </c>
      <c r="V38" s="7">
        <v>77.556820717919322</v>
      </c>
      <c r="W38" s="7">
        <v>99.710101239635961</v>
      </c>
      <c r="X38" s="7">
        <v>79.168077963142224</v>
      </c>
    </row>
  </sheetData>
  <mergeCells count="11">
    <mergeCell ref="R1:X1"/>
    <mergeCell ref="Y1:Z1"/>
    <mergeCell ref="AE1:AF1"/>
    <mergeCell ref="I1:N1"/>
    <mergeCell ref="C1:H1"/>
    <mergeCell ref="M2:N2"/>
    <mergeCell ref="C2:D2"/>
    <mergeCell ref="G2:H2"/>
    <mergeCell ref="E2:F2"/>
    <mergeCell ref="K2:L2"/>
    <mergeCell ref="I2:J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"/>
  <sheetViews>
    <sheetView zoomScale="85" zoomScaleNormal="85" workbookViewId="0">
      <selection activeCell="G1" sqref="G1"/>
    </sheetView>
  </sheetViews>
  <sheetFormatPr defaultColWidth="9.109375" defaultRowHeight="10.199999999999999" x14ac:dyDescent="0.2"/>
  <cols>
    <col min="1" max="1" width="18.88671875" style="2" bestFit="1" customWidth="1"/>
    <col min="2" max="2" width="22.44140625" style="2" customWidth="1"/>
    <col min="3" max="3" width="29.88671875" style="2" bestFit="1" customWidth="1"/>
    <col min="4" max="4" width="18" style="2" customWidth="1"/>
    <col min="5" max="5" width="13.6640625" style="2" customWidth="1"/>
    <col min="6" max="6" width="9.109375" style="2" customWidth="1"/>
    <col min="7" max="16384" width="9.109375" style="2"/>
  </cols>
  <sheetData>
    <row r="1" spans="1:7" x14ac:dyDescent="0.2">
      <c r="A1" s="3" t="s">
        <v>132</v>
      </c>
      <c r="B1" s="3" t="s">
        <v>133</v>
      </c>
      <c r="C1" s="3" t="s">
        <v>134</v>
      </c>
      <c r="D1" s="3" t="s">
        <v>135</v>
      </c>
      <c r="E1" s="3" t="s">
        <v>136</v>
      </c>
      <c r="G1" s="8" t="s">
        <v>137</v>
      </c>
    </row>
    <row r="2" spans="1:7" x14ac:dyDescent="0.2">
      <c r="A2" s="2" t="s">
        <v>83</v>
      </c>
      <c r="B2" s="9">
        <v>0.49399999999999999</v>
      </c>
      <c r="C2" s="9">
        <v>0.44600000000000001</v>
      </c>
      <c r="D2" s="2">
        <v>2470</v>
      </c>
      <c r="E2" s="2">
        <v>8.9</v>
      </c>
    </row>
    <row r="3" spans="1:7" x14ac:dyDescent="0.2">
      <c r="A3" s="2" t="s">
        <v>138</v>
      </c>
      <c r="B3" s="9">
        <v>9.4E-2</v>
      </c>
      <c r="C3" s="9">
        <v>5.3999999999999999E-2</v>
      </c>
      <c r="D3" s="2">
        <v>900</v>
      </c>
      <c r="E3" s="2">
        <v>3.5</v>
      </c>
    </row>
    <row r="4" spans="1:7" x14ac:dyDescent="0.2">
      <c r="A4" s="2" t="s">
        <v>84</v>
      </c>
      <c r="B4" s="9">
        <v>0.11899999999999999</v>
      </c>
      <c r="C4" s="9">
        <v>0.161</v>
      </c>
      <c r="D4" s="2">
        <v>12050</v>
      </c>
      <c r="E4" s="2">
        <v>53.2</v>
      </c>
    </row>
    <row r="5" spans="1:7" x14ac:dyDescent="0.2">
      <c r="A5" s="2" t="s">
        <v>139</v>
      </c>
      <c r="B5" s="9">
        <v>2.1999999999999999E-2</v>
      </c>
      <c r="C5" s="9">
        <v>2.4E-2</v>
      </c>
      <c r="D5" s="2">
        <v>1130</v>
      </c>
      <c r="E5" s="2">
        <v>3.3</v>
      </c>
    </row>
    <row r="6" spans="1:7" x14ac:dyDescent="0.2">
      <c r="A6" s="2" t="s">
        <v>140</v>
      </c>
      <c r="B6" s="9">
        <v>4.0000000000000001E-3</v>
      </c>
      <c r="C6" s="9">
        <v>4.0000000000000001E-3</v>
      </c>
      <c r="D6" s="2">
        <v>5680</v>
      </c>
      <c r="E6" s="2">
        <v>28</v>
      </c>
    </row>
    <row r="7" spans="1:7" x14ac:dyDescent="0.2">
      <c r="A7" s="2" t="s">
        <v>141</v>
      </c>
      <c r="B7" s="9">
        <v>0.11</v>
      </c>
      <c r="C7" s="9">
        <v>0.11600000000000001</v>
      </c>
      <c r="D7" s="2">
        <v>3610</v>
      </c>
      <c r="E7" s="2">
        <v>8.6</v>
      </c>
    </row>
    <row r="8" spans="1:7" x14ac:dyDescent="0.2">
      <c r="A8" s="2" t="s">
        <v>142</v>
      </c>
      <c r="B8" s="9">
        <v>3.6999999999999998E-2</v>
      </c>
      <c r="C8" s="9">
        <v>0.04</v>
      </c>
      <c r="D8" s="2">
        <v>3300</v>
      </c>
      <c r="E8" s="2">
        <v>9.9</v>
      </c>
    </row>
    <row r="9" spans="1:7" x14ac:dyDescent="0.2">
      <c r="A9" s="2" t="s">
        <v>143</v>
      </c>
      <c r="B9" s="9">
        <v>8.9999999999999993E-3</v>
      </c>
      <c r="C9" s="9">
        <v>4.0000000000000001E-3</v>
      </c>
      <c r="D9" s="2">
        <v>4200</v>
      </c>
      <c r="E9" s="2">
        <v>13.3</v>
      </c>
    </row>
    <row r="10" spans="1:7" x14ac:dyDescent="0.2">
      <c r="A10" s="2" t="s">
        <v>82</v>
      </c>
      <c r="B10" s="9">
        <v>2.3E-2</v>
      </c>
      <c r="C10" s="9">
        <v>3.6999999999999998E-2</v>
      </c>
      <c r="D10" s="2">
        <v>3610</v>
      </c>
      <c r="E10" s="2">
        <v>11.9</v>
      </c>
    </row>
    <row r="11" spans="1:7" x14ac:dyDescent="0.2">
      <c r="A11" s="2" t="s">
        <v>144</v>
      </c>
      <c r="B11" s="9">
        <v>4.0000000000000001E-3</v>
      </c>
      <c r="C11" s="9">
        <v>1.6E-2</v>
      </c>
      <c r="D11" s="2">
        <v>7670</v>
      </c>
      <c r="E11" s="2">
        <v>30.3</v>
      </c>
    </row>
    <row r="12" spans="1:7" x14ac:dyDescent="0.2">
      <c r="A12" s="2" t="s">
        <v>145</v>
      </c>
      <c r="B12" s="9">
        <v>4.7E-2</v>
      </c>
      <c r="C12" s="9">
        <v>5.7000000000000002E-2</v>
      </c>
      <c r="D12" s="2">
        <v>36630</v>
      </c>
      <c r="E12" s="2">
        <v>133.4</v>
      </c>
    </row>
    <row r="13" spans="1:7" x14ac:dyDescent="0.2">
      <c r="A13" s="2" t="s">
        <v>146</v>
      </c>
      <c r="B13" s="9">
        <v>3.6999999999999998E-2</v>
      </c>
      <c r="C13" s="9">
        <v>4.1000000000000002E-2</v>
      </c>
      <c r="D13" s="2">
        <v>24250</v>
      </c>
      <c r="E13" s="2">
        <v>75.2</v>
      </c>
    </row>
    <row r="14" spans="1:7" x14ac:dyDescent="0.2">
      <c r="A14" s="2" t="s">
        <v>147</v>
      </c>
      <c r="B14" s="9">
        <v>0</v>
      </c>
      <c r="C14" s="9">
        <v>0</v>
      </c>
      <c r="D14" s="2">
        <v>18940</v>
      </c>
      <c r="E14" s="2">
        <v>90.2</v>
      </c>
    </row>
  </sheetData>
  <hyperlinks>
    <hyperlink ref="G1" r:id="rId1" xr:uid="{00000000-0004-0000-0300-000000000000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"/>
  <sheetViews>
    <sheetView workbookViewId="0">
      <selection activeCell="D16" sqref="D16"/>
    </sheetView>
  </sheetViews>
  <sheetFormatPr defaultColWidth="9.109375" defaultRowHeight="10.199999999999999" x14ac:dyDescent="0.2"/>
  <cols>
    <col min="1" max="1" width="15.88671875" style="2" bestFit="1" customWidth="1"/>
    <col min="2" max="2" width="9.109375" style="2" customWidth="1"/>
    <col min="3" max="16384" width="9.109375" style="2"/>
  </cols>
  <sheetData>
    <row r="1" spans="1:11" x14ac:dyDescent="0.2">
      <c r="A1" s="3" t="s">
        <v>148</v>
      </c>
      <c r="B1" s="3" t="s">
        <v>78</v>
      </c>
      <c r="C1" s="3" t="s">
        <v>79</v>
      </c>
      <c r="D1" s="3" t="s">
        <v>80</v>
      </c>
    </row>
    <row r="2" spans="1:11" x14ac:dyDescent="0.2">
      <c r="A2" s="3" t="s">
        <v>149</v>
      </c>
      <c r="K2" s="8" t="s">
        <v>137</v>
      </c>
    </row>
    <row r="3" spans="1:11" x14ac:dyDescent="0.2">
      <c r="A3" s="3" t="s">
        <v>150</v>
      </c>
      <c r="B3" s="2">
        <v>112</v>
      </c>
      <c r="C3" s="2">
        <v>0.23</v>
      </c>
      <c r="D3" s="2">
        <v>440</v>
      </c>
    </row>
    <row r="4" spans="1:11" x14ac:dyDescent="0.2">
      <c r="A4" s="3" t="s">
        <v>151</v>
      </c>
      <c r="B4" s="2">
        <v>67</v>
      </c>
      <c r="C4" s="2">
        <v>0.18</v>
      </c>
      <c r="D4" s="2">
        <v>387</v>
      </c>
    </row>
    <row r="5" spans="1:11" x14ac:dyDescent="0.2">
      <c r="A5" s="3" t="s">
        <v>152</v>
      </c>
      <c r="B5" s="2">
        <v>81</v>
      </c>
      <c r="C5" s="2">
        <v>0.2</v>
      </c>
      <c r="D5" s="2">
        <v>426</v>
      </c>
    </row>
    <row r="6" spans="1:11" x14ac:dyDescent="0.2">
      <c r="A6" s="3" t="s">
        <v>153</v>
      </c>
    </row>
    <row r="7" spans="1:11" x14ac:dyDescent="0.2">
      <c r="A7" s="3" t="s">
        <v>150</v>
      </c>
      <c r="B7" s="2">
        <v>-22</v>
      </c>
      <c r="C7" s="2">
        <v>-0.02</v>
      </c>
      <c r="D7" s="2">
        <v>-86</v>
      </c>
    </row>
    <row r="8" spans="1:11" x14ac:dyDescent="0.2">
      <c r="A8" s="3" t="s">
        <v>151</v>
      </c>
      <c r="B8" s="2">
        <v>-7</v>
      </c>
      <c r="C8" s="2">
        <v>-0.01</v>
      </c>
      <c r="D8" s="2">
        <v>-62</v>
      </c>
    </row>
    <row r="9" spans="1:11" x14ac:dyDescent="0.2">
      <c r="A9" s="3" t="s">
        <v>152</v>
      </c>
      <c r="B9" s="2">
        <v>-10</v>
      </c>
      <c r="C9" s="2">
        <v>-0.01</v>
      </c>
      <c r="D9" s="2">
        <v>-68</v>
      </c>
    </row>
  </sheetData>
  <hyperlinks>
    <hyperlink ref="K2" r:id="rId1" xr:uid="{00000000-0004-0000-0400-000000000000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0"/>
  <sheetViews>
    <sheetView workbookViewId="0">
      <selection activeCell="P2" sqref="P2:P8"/>
    </sheetView>
  </sheetViews>
  <sheetFormatPr defaultRowHeight="14.4" x14ac:dyDescent="0.3"/>
  <cols>
    <col min="1" max="1" width="19" bestFit="1" customWidth="1"/>
    <col min="2" max="3" width="10.109375" bestFit="1" customWidth="1"/>
    <col min="4" max="5" width="10.109375" customWidth="1"/>
    <col min="6" max="7" width="12.44140625" bestFit="1" customWidth="1"/>
  </cols>
  <sheetData>
    <row r="1" spans="1:17" ht="45.75" customHeight="1" x14ac:dyDescent="0.3">
      <c r="B1" s="6" t="s">
        <v>154</v>
      </c>
      <c r="C1" s="6" t="s">
        <v>155</v>
      </c>
      <c r="D1" s="6" t="s">
        <v>156</v>
      </c>
      <c r="E1" s="6" t="s">
        <v>157</v>
      </c>
      <c r="F1" s="6" t="s">
        <v>158</v>
      </c>
      <c r="G1" s="6" t="s">
        <v>159</v>
      </c>
      <c r="H1" s="6" t="s">
        <v>160</v>
      </c>
      <c r="I1" s="6" t="s">
        <v>161</v>
      </c>
      <c r="J1" s="6" t="s">
        <v>162</v>
      </c>
      <c r="K1" s="6" t="s">
        <v>163</v>
      </c>
      <c r="L1" s="6" t="s">
        <v>164</v>
      </c>
      <c r="M1" s="6" t="s">
        <v>165</v>
      </c>
      <c r="N1" s="6" t="s">
        <v>166</v>
      </c>
      <c r="O1" s="6" t="s">
        <v>167</v>
      </c>
      <c r="P1" s="6" t="s">
        <v>168</v>
      </c>
      <c r="Q1" s="6" t="s">
        <v>169</v>
      </c>
    </row>
    <row r="2" spans="1:17" x14ac:dyDescent="0.3">
      <c r="A2" s="2" t="s">
        <v>62</v>
      </c>
      <c r="B2" s="5">
        <v>0.65649653408149</v>
      </c>
      <c r="C2" s="5">
        <v>0.54302148037539899</v>
      </c>
      <c r="D2" s="5">
        <v>0.37480403798965162</v>
      </c>
      <c r="E2" s="5">
        <v>0.30955166237494308</v>
      </c>
      <c r="F2" s="5">
        <v>5.8795405205431479E-2</v>
      </c>
      <c r="G2" s="5">
        <v>0</v>
      </c>
      <c r="H2" s="5">
        <v>0</v>
      </c>
      <c r="I2" s="5">
        <v>0</v>
      </c>
      <c r="J2" s="5">
        <v>0.65567467386186218</v>
      </c>
      <c r="K2" s="5">
        <v>0.54382913602830851</v>
      </c>
      <c r="L2" s="5">
        <v>0.35114706086683761</v>
      </c>
      <c r="M2" s="5">
        <v>0.24625418847359301</v>
      </c>
      <c r="N2" s="5">
        <v>5.8814050416097177E-2</v>
      </c>
      <c r="O2" s="5">
        <v>0</v>
      </c>
      <c r="P2" s="5">
        <v>0</v>
      </c>
      <c r="Q2" s="5">
        <v>0</v>
      </c>
    </row>
    <row r="3" spans="1:17" x14ac:dyDescent="0.3">
      <c r="A3" s="2" t="s">
        <v>63</v>
      </c>
      <c r="B3" s="5">
        <v>9.5258761036033285E-2</v>
      </c>
      <c r="C3" s="5">
        <v>0.18715831972703739</v>
      </c>
      <c r="D3" s="5">
        <v>0.3740115429984881</v>
      </c>
      <c r="E3" s="5">
        <v>0.41201528069296839</v>
      </c>
      <c r="F3" s="5">
        <v>0.1881634765090846</v>
      </c>
      <c r="G3" s="5">
        <v>0.34638042107647249</v>
      </c>
      <c r="H3" s="5">
        <v>0.43123084019252877</v>
      </c>
      <c r="I3" s="5">
        <v>0.50888586538026992</v>
      </c>
      <c r="J3" s="5">
        <v>9.514019711597041E-2</v>
      </c>
      <c r="K3" s="5">
        <v>0.18994188619063609</v>
      </c>
      <c r="L3" s="5">
        <v>0.3995407749892258</v>
      </c>
      <c r="M3" s="5">
        <v>0.45334735467226212</v>
      </c>
      <c r="N3" s="5">
        <v>0.1882376460322262</v>
      </c>
      <c r="O3" s="5">
        <v>0.34483682630389312</v>
      </c>
      <c r="P3" s="5">
        <v>0.67249258861885519</v>
      </c>
      <c r="Q3" s="5">
        <v>0.63654195877826181</v>
      </c>
    </row>
    <row r="4" spans="1:17" x14ac:dyDescent="0.3">
      <c r="A4" s="2" t="s">
        <v>64</v>
      </c>
      <c r="B4" s="5">
        <v>4.6130915917491029E-2</v>
      </c>
      <c r="C4" s="5">
        <v>0.1016365982846965</v>
      </c>
      <c r="D4" s="5">
        <v>0.1083559419373863</v>
      </c>
      <c r="E4" s="5">
        <v>0.14014257452046891</v>
      </c>
      <c r="F4" s="5">
        <v>8.1287260574084211E-2</v>
      </c>
      <c r="G4" s="5">
        <v>0.13900069557269251</v>
      </c>
      <c r="H4" s="5">
        <v>0.14508286692038599</v>
      </c>
      <c r="I4" s="5">
        <v>0.1821766276290358</v>
      </c>
      <c r="J4" s="5">
        <v>4.6073361670510682E-2</v>
      </c>
      <c r="K4" s="5">
        <v>0.1027024821690096</v>
      </c>
      <c r="L4" s="5">
        <v>0.1140561568477885</v>
      </c>
      <c r="M4" s="5">
        <v>0.1511111504641193</v>
      </c>
      <c r="N4" s="5">
        <v>8.1314058120272939E-2</v>
      </c>
      <c r="O4" s="5">
        <v>0.1384832110284977</v>
      </c>
      <c r="P4" s="5">
        <v>0.17379572895423351</v>
      </c>
      <c r="Q4" s="5">
        <v>0.20232728359502281</v>
      </c>
    </row>
    <row r="5" spans="1:17" x14ac:dyDescent="0.3">
      <c r="A5" s="2" t="s">
        <v>65</v>
      </c>
      <c r="B5" s="5">
        <v>0.1162347066084633</v>
      </c>
      <c r="C5" s="5">
        <v>0.1056288472348112</v>
      </c>
      <c r="D5" s="5">
        <v>0.101123687825432</v>
      </c>
      <c r="E5" s="5">
        <v>9.207636932456488E-2</v>
      </c>
      <c r="F5" s="5">
        <v>4.0684209333330681E-2</v>
      </c>
      <c r="G5" s="5">
        <v>3.9818608940359712E-2</v>
      </c>
      <c r="H5" s="5">
        <v>4.0588437609132243E-2</v>
      </c>
      <c r="I5" s="5">
        <v>3.9058780553433613E-2</v>
      </c>
      <c r="J5" s="5">
        <v>0.1160891937587492</v>
      </c>
      <c r="K5" s="5">
        <v>0.1069385724819498</v>
      </c>
      <c r="L5" s="5">
        <v>8.5191751915024441E-2</v>
      </c>
      <c r="M5" s="5">
        <v>6.3720604393446165E-2</v>
      </c>
      <c r="N5" s="5">
        <v>4.0496353382093987E-2</v>
      </c>
      <c r="O5" s="5">
        <v>4.0020303400163292E-2</v>
      </c>
      <c r="P5" s="5">
        <v>3.061235810618388E-2</v>
      </c>
      <c r="Q5" s="5">
        <v>2.395897270738321E-2</v>
      </c>
    </row>
    <row r="6" spans="1:17" x14ac:dyDescent="0.3">
      <c r="A6" s="2" t="s">
        <v>66</v>
      </c>
      <c r="B6" s="5">
        <v>1.460292796362651E-2</v>
      </c>
      <c r="C6" s="5">
        <v>0</v>
      </c>
      <c r="D6" s="5">
        <v>0</v>
      </c>
      <c r="E6" s="5">
        <v>0</v>
      </c>
      <c r="F6" s="5">
        <v>0.44998134728924588</v>
      </c>
      <c r="G6" s="5">
        <v>0.26747299272166469</v>
      </c>
      <c r="H6" s="5">
        <v>0.1069755003409974</v>
      </c>
      <c r="I6" s="5">
        <v>1.062127167029984E-2</v>
      </c>
      <c r="J6" s="5">
        <v>1.4584646731418341E-2</v>
      </c>
      <c r="K6" s="5">
        <v>0</v>
      </c>
      <c r="L6" s="5">
        <v>0</v>
      </c>
      <c r="M6" s="5">
        <v>0</v>
      </c>
      <c r="N6" s="5">
        <v>0.4483674975186509</v>
      </c>
      <c r="O6" s="5">
        <v>0.26878753186667348</v>
      </c>
      <c r="P6" s="5">
        <v>4.4776468568166047E-3</v>
      </c>
      <c r="Q6" s="5">
        <v>0</v>
      </c>
    </row>
    <row r="7" spans="1:17" x14ac:dyDescent="0.3">
      <c r="A7" s="2" t="s">
        <v>67</v>
      </c>
      <c r="B7" s="5">
        <v>4.7601450166580558E-2</v>
      </c>
      <c r="C7" s="5">
        <v>1.8049436136901579E-2</v>
      </c>
      <c r="D7" s="5">
        <v>9.6778051777521735E-3</v>
      </c>
      <c r="E7" s="5">
        <v>7.5678832201367821E-3</v>
      </c>
      <c r="F7" s="5">
        <v>0.12928178357042619</v>
      </c>
      <c r="G7" s="5">
        <v>0.1207000999295411</v>
      </c>
      <c r="H7" s="5">
        <v>0.1749579415550844</v>
      </c>
      <c r="I7" s="5">
        <v>0.15693159838777149</v>
      </c>
      <c r="J7" s="5">
        <v>4.8792904831158543E-2</v>
      </c>
      <c r="K7" s="5">
        <v>1.197504820088393E-2</v>
      </c>
      <c r="L7" s="5">
        <v>5.3683478126073051E-3</v>
      </c>
      <c r="M7" s="5">
        <v>6.0376679843467109E-3</v>
      </c>
      <c r="N7" s="5">
        <v>0.1271906877188623</v>
      </c>
      <c r="O7" s="5">
        <v>0.116567969945283</v>
      </c>
      <c r="P7" s="5">
        <v>2.5852938965992531E-2</v>
      </c>
      <c r="Q7" s="5">
        <v>5.7065687145465779E-4</v>
      </c>
    </row>
    <row r="8" spans="1:17" x14ac:dyDescent="0.3">
      <c r="A8" s="2" t="s">
        <v>68</v>
      </c>
      <c r="B8" s="5">
        <v>2.3674704226315211E-2</v>
      </c>
      <c r="C8" s="5">
        <v>4.4505318241154473E-2</v>
      </c>
      <c r="D8" s="5">
        <v>3.2026984071289871E-2</v>
      </c>
      <c r="E8" s="5">
        <v>3.8646229866917937E-2</v>
      </c>
      <c r="F8" s="5">
        <v>5.1806517518396829E-2</v>
      </c>
      <c r="G8" s="5">
        <v>8.6627181759269437E-2</v>
      </c>
      <c r="H8" s="5">
        <v>0.1011644133818712</v>
      </c>
      <c r="I8" s="5">
        <v>0.1023258563791893</v>
      </c>
      <c r="J8" s="5">
        <v>2.3645022030330649E-2</v>
      </c>
      <c r="K8" s="5">
        <v>4.4612874929211933E-2</v>
      </c>
      <c r="L8" s="5">
        <v>4.4695907568516373E-2</v>
      </c>
      <c r="M8" s="5">
        <v>7.9529034012233019E-2</v>
      </c>
      <c r="N8" s="5">
        <v>5.5579706811796463E-2</v>
      </c>
      <c r="O8" s="5">
        <v>9.1304157455489407E-2</v>
      </c>
      <c r="P8" s="5">
        <v>9.2768738497918307E-2</v>
      </c>
      <c r="Q8" s="5">
        <v>0.1366011280478775</v>
      </c>
    </row>
    <row r="10" spans="1:17" x14ac:dyDescent="0.3">
      <c r="A10" s="2" t="s">
        <v>170</v>
      </c>
      <c r="B10" s="1" t="s">
        <v>171</v>
      </c>
    </row>
  </sheetData>
  <hyperlinks>
    <hyperlink ref="B10" r:id="rId1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Information</vt:lpstr>
      <vt:lpstr>Inventaire</vt:lpstr>
      <vt:lpstr>Analyse d'impacts</vt:lpstr>
      <vt:lpstr>Composition voiture</vt:lpstr>
      <vt:lpstr>Production batterie</vt:lpstr>
      <vt:lpstr>Mix électriques</vt:lpstr>
      <vt:lpstr>Carburant</vt:lpstr>
      <vt:lpstr>n_SelectedImpact_Elec</vt:lpstr>
      <vt:lpstr>n_SelectedRegion_Elec</vt:lpstr>
      <vt:lpstr>n_SelectedScenario_Elec</vt:lpstr>
      <vt:lpstr>n_SelectedSensitivity_Elec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Gibon</dc:creator>
  <cp:lastModifiedBy>Mihnea POPA</cp:lastModifiedBy>
  <dcterms:created xsi:type="dcterms:W3CDTF">2024-03-19T15:46:23Z</dcterms:created>
  <dcterms:modified xsi:type="dcterms:W3CDTF">2026-05-21T22:05:21Z</dcterms:modified>
</cp:coreProperties>
</file>